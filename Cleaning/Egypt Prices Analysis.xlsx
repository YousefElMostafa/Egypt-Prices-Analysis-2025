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l Mostafa\Desktop\"/>
    </mc:Choice>
  </mc:AlternateContent>
  <xr:revisionPtr revIDLastSave="0" documentId="13_ncr:1_{04058F88-5C97-4006-8595-12C9CE9D725A}" xr6:coauthVersionLast="47" xr6:coauthVersionMax="47" xr10:uidLastSave="{00000000-0000-0000-0000-000000000000}"/>
  <bookViews>
    <workbookView xWindow="0" yWindow="0" windowWidth="12800" windowHeight="15400" activeTab="3" xr2:uid="{00000000-000D-0000-FFFF-FFFF00000000}"/>
  </bookViews>
  <sheets>
    <sheet name="General" sheetId="1" r:id="rId1"/>
    <sheet name="Wholesale" sheetId="2" r:id="rId2"/>
    <sheet name="Urban" sheetId="3" r:id="rId3"/>
    <sheet name="Rural" sheetId="4" r:id="rId4"/>
  </sheets>
  <definedNames>
    <definedName name="ExternalData_1" localSheetId="0" hidden="1">General!$A$1:$J$110</definedName>
    <definedName name="ExternalData_1" localSheetId="3" hidden="1">'Rural'!$A$1:$R$257</definedName>
    <definedName name="ExternalData_1" localSheetId="2" hidden="1">Urban!$A$1:$R$251</definedName>
    <definedName name="ExternalData_1" localSheetId="1" hidden="1">Wholesale!$A$1:$R$147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U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V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S2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9723D6-3B2B-43CA-8940-FEAD1539FCC2}" keepAlive="1" name="Query - General" description="Connection to the 'General' query in the workbook." type="5" refreshedVersion="8" background="1" saveData="1">
    <dbPr connection="Provider=Microsoft.Mashup.OleDb.1;Data Source=$Workbook$;Location=General;Extended Properties=&quot;&quot;" command="SELECT * FROM [General]"/>
  </connection>
  <connection id="2" xr16:uid="{E054DA2F-0C46-45A5-B197-A298D2F95136}" keepAlive="1" name="Query - Rural" description="Connection to the 'Rural' query in the workbook." type="5" refreshedVersion="8" background="1" saveData="1">
    <dbPr connection="Provider=Microsoft.Mashup.OleDb.1;Data Source=$Workbook$;Location=Rural;Extended Properties=&quot;&quot;" command="SELECT * FROM [Rural]"/>
  </connection>
  <connection id="3" xr16:uid="{AEC464D5-6724-4CEB-9EDA-50F24EC5A1F5}" keepAlive="1" name="Query - Table007 (Page 11-14)" description="Connection to the 'Table007 (Page 11-14)' query in the workbook." type="5" refreshedVersion="0" background="1">
    <dbPr connection="Provider=Microsoft.Mashup.OleDb.1;Data Source=$Workbook$;Location=&quot;Table007 (Page 11-14)&quot;;Extended Properties=&quot;&quot;" command="SELECT * FROM [Table007 (Page 11-14)]"/>
  </connection>
  <connection id="4" xr16:uid="{9C8721D8-FF1C-416C-99D9-37E78EF5B7C9}" keepAlive="1" name="Query - Table008 (Page 15-17)" description="Connection to the 'Table008 (Page 15-17)' query in the workbook." type="5" refreshedVersion="0" background="1">
    <dbPr connection="Provider=Microsoft.Mashup.OleDb.1;Data Source=$Workbook$;Location=&quot;Table008 (Page 15-17)&quot;;Extended Properties=&quot;&quot;" command="SELECT * FROM [Table008 (Page 15-17)]"/>
  </connection>
  <connection id="5" xr16:uid="{AC33E8C4-B2A2-4FC1-BFD5-13960470E5ED}" keepAlive="1" name="Query - Table009 (Page 18)" description="Connection to the 'Table009 (Page 18)' query in the workbook." type="5" refreshedVersion="0" background="1">
    <dbPr connection="Provider=Microsoft.Mashup.OleDb.1;Data Source=$Workbook$;Location=&quot;Table009 (Page 18)&quot;;Extended Properties=&quot;&quot;" command="SELECT * FROM [Table009 (Page 18)]"/>
  </connection>
  <connection id="6" xr16:uid="{9878FF83-428F-44C9-A311-A50EEAC1E7E1}" keepAlive="1" name="Query - Table010 (Page 20)" description="Connection to the 'Table010 (Page 20)' query in the workbook." type="5" refreshedVersion="0" background="1">
    <dbPr connection="Provider=Microsoft.Mashup.OleDb.1;Data Source=$Workbook$;Location=&quot;Table010 (Page 20)&quot;;Extended Properties=&quot;&quot;" command="SELECT * FROM [Table010 (Page 20)]"/>
  </connection>
  <connection id="7" xr16:uid="{2CCCC0AD-422F-44C5-BD97-5709C449866E}" keepAlive="1" name="Query - Table011 (Page 21)" description="Connection to the 'Table011 (Page 21)' query in the workbook." type="5" refreshedVersion="0" background="1">
    <dbPr connection="Provider=Microsoft.Mashup.OleDb.1;Data Source=$Workbook$;Location=&quot;Table011 (Page 21)&quot;;Extended Properties=&quot;&quot;" command="SELECT * FROM [Table011 (Page 21)]"/>
  </connection>
  <connection id="8" xr16:uid="{B3EE69C7-18E9-43FB-9425-212777C0AC04}" keepAlive="1" name="Query - Table012 (Page 22)" description="Connection to the 'Table012 (Page 22)' query in the workbook." type="5" refreshedVersion="0" background="1">
    <dbPr connection="Provider=Microsoft.Mashup.OleDb.1;Data Source=$Workbook$;Location=&quot;Table012 (Page 22)&quot;;Extended Properties=&quot;&quot;" command="SELECT * FROM [Table012 (Page 22)]"/>
  </connection>
  <connection id="9" xr16:uid="{2D2A5CE8-E794-4CD3-B263-91777707EF3F}" keepAlive="1" name="Query - Table013 (Page 23)" description="Connection to the 'Table013 (Page 23)' query in the workbook." type="5" refreshedVersion="0" background="1">
    <dbPr connection="Provider=Microsoft.Mashup.OleDb.1;Data Source=$Workbook$;Location=&quot;Table013 (Page 23)&quot;;Extended Properties=&quot;&quot;" command="SELECT * FROM [Table013 (Page 23)]"/>
  </connection>
  <connection id="10" xr16:uid="{4A55FA4B-B00A-4B5A-947D-BA1C7E9DB757}" keepAlive="1" name="Query - Table014 (Page 24)" description="Connection to the 'Table014 (Page 24)' query in the workbook." type="5" refreshedVersion="0" background="1">
    <dbPr connection="Provider=Microsoft.Mashup.OleDb.1;Data Source=$Workbook$;Location=&quot;Table014 (Page 24)&quot;;Extended Properties=&quot;&quot;" command="SELECT * FROM [Table014 (Page 24)]"/>
  </connection>
  <connection id="11" xr16:uid="{B0BE0B56-A726-41C8-AB39-8A26270F4D67}" keepAlive="1" name="Query - Table015 (Page 25)" description="Connection to the 'Table015 (Page 25)' query in the workbook." type="5" refreshedVersion="0" background="1">
    <dbPr connection="Provider=Microsoft.Mashup.OleDb.1;Data Source=$Workbook$;Location=&quot;Table015 (Page 25)&quot;;Extended Properties=&quot;&quot;" command="SELECT * FROM [Table015 (Page 25)]"/>
  </connection>
  <connection id="12" xr16:uid="{ECFA75C4-C665-415C-A4DE-1D42E25A5CE5}" keepAlive="1" name="Query - Table016 (Page 26)" description="Connection to the 'Table016 (Page 26)' query in the workbook." type="5" refreshedVersion="0" background="1">
    <dbPr connection="Provider=Microsoft.Mashup.OleDb.1;Data Source=$Workbook$;Location=&quot;Table016 (Page 26)&quot;;Extended Properties=&quot;&quot;" command="SELECT * FROM [Table016 (Page 26)]"/>
  </connection>
  <connection id="13" xr16:uid="{2C013653-AEAA-4A29-957F-FE80826CB182}" keepAlive="1" name="Query - Table017 (Page 27)" description="Connection to the 'Table017 (Page 27)' query in the workbook." type="5" refreshedVersion="0" background="1">
    <dbPr connection="Provider=Microsoft.Mashup.OleDb.1;Data Source=$Workbook$;Location=&quot;Table017 (Page 27)&quot;;Extended Properties=&quot;&quot;" command="SELECT * FROM [Table017 (Page 27)]"/>
  </connection>
  <connection id="14" xr16:uid="{578BE560-C273-4298-93C6-B154C5D4EDF4}" keepAlive="1" name="Query - Table018 (Page 28)" description="Connection to the 'Table018 (Page 28)' query in the workbook." type="5" refreshedVersion="0" background="1">
    <dbPr connection="Provider=Microsoft.Mashup.OleDb.1;Data Source=$Workbook$;Location=&quot;Table018 (Page 28)&quot;;Extended Properties=&quot;&quot;" command="SELECT * FROM [Table018 (Page 28)]"/>
  </connection>
  <connection id="15" xr16:uid="{E0BCA568-4082-4243-88F9-F0AC2CBBDB64}" keepAlive="1" name="Query - Table019 (Page 29)" description="Connection to the 'Table019 (Page 29)' query in the workbook." type="5" refreshedVersion="0" background="1">
    <dbPr connection="Provider=Microsoft.Mashup.OleDb.1;Data Source=$Workbook$;Location=&quot;Table019 (Page 29)&quot;;Extended Properties=&quot;&quot;" command="SELECT * FROM [Table019 (Page 29)]"/>
  </connection>
  <connection id="16" xr16:uid="{2DD8C7AB-87A4-4966-A591-18635C98A240}" keepAlive="1" name="Query - Table020 (Page 31-39)" description="Connection to the 'Table020 (Page 31-39)' query in the workbook." type="5" refreshedVersion="0" background="1">
    <dbPr connection="Provider=Microsoft.Mashup.OleDb.1;Data Source=$Workbook$;Location=&quot;Table020 (Page 31-39)&quot;;Extended Properties=&quot;&quot;" command="SELECT * FROM [Table020 (Page 31-39)]"/>
  </connection>
  <connection id="17" xr16:uid="{7C4991FF-4B58-40EB-B4B1-581988E99278}" keepAlive="1" name="Query - Table021 (Page 40-48)" description="Connection to the 'Table021 (Page 40-48)' query in the workbook." type="5" refreshedVersion="0" background="1">
    <dbPr connection="Provider=Microsoft.Mashup.OleDb.1;Data Source=$Workbook$;Location=&quot;Table021 (Page 40-48)&quot;;Extended Properties=&quot;&quot;" command="SELECT * FROM [Table021 (Page 40-48)]"/>
  </connection>
  <connection id="18" xr16:uid="{069222DC-E868-446A-B223-17E7CD965CE3}" keepAlive="1" name="Query - Table022 (Page 49)" description="Connection to the 'Table022 (Page 49)' query in the workbook." type="5" refreshedVersion="0" background="1">
    <dbPr connection="Provider=Microsoft.Mashup.OleDb.1;Data Source=$Workbook$;Location=&quot;Table022 (Page 49)&quot;;Extended Properties=&quot;&quot;" command="SELECT * FROM [Table022 (Page 49)]"/>
  </connection>
  <connection id="19" xr16:uid="{6A39AC2D-17E1-4B82-852F-885150EE28B1}" keepAlive="1" name="Query - Table023 (Page 50)" description="Connection to the 'Table023 (Page 50)' query in the workbook." type="5" refreshedVersion="0" background="1">
    <dbPr connection="Provider=Microsoft.Mashup.OleDb.1;Data Source=$Workbook$;Location=&quot;Table023 (Page 50)&quot;;Extended Properties=&quot;&quot;" command="SELECT * FROM [Table023 (Page 50)]"/>
  </connection>
  <connection id="20" xr16:uid="{90230537-5176-44A5-B954-EF66427D9FE6}" keepAlive="1" name="Query - Table024 (Page 51)" description="Connection to the 'Table024 (Page 51)' query in the workbook." type="5" refreshedVersion="0" background="1">
    <dbPr connection="Provider=Microsoft.Mashup.OleDb.1;Data Source=$Workbook$;Location=&quot;Table024 (Page 51)&quot;;Extended Properties=&quot;&quot;" command="SELECT * FROM [Table024 (Page 51)]"/>
  </connection>
  <connection id="21" xr16:uid="{DF610A3F-86E0-4093-8682-205DD3731BFB}" keepAlive="1" name="Query - Table025 (Page 52)" description="Connection to the 'Table025 (Page 52)' query in the workbook." type="5" refreshedVersion="0" background="1">
    <dbPr connection="Provider=Microsoft.Mashup.OleDb.1;Data Source=$Workbook$;Location=&quot;Table025 (Page 52)&quot;;Extended Properties=&quot;&quot;" command="SELECT * FROM [Table025 (Page 52)]"/>
  </connection>
  <connection id="22" xr16:uid="{A70B39EF-02C0-4BD5-B1BA-896CA0352277}" keepAlive="1" name="Query - Table026 (Page 53)" description="Connection to the 'Table026 (Page 53)' query in the workbook." type="5" refreshedVersion="0" background="1">
    <dbPr connection="Provider=Microsoft.Mashup.OleDb.1;Data Source=$Workbook$;Location=&quot;Table026 (Page 53)&quot;;Extended Properties=&quot;&quot;" command="SELECT * FROM [Table026 (Page 53)]"/>
  </connection>
  <connection id="23" xr16:uid="{0B245742-0B98-4C14-A073-7E5941556882}" keepAlive="1" name="Query - Table027 (Page 54)" description="Connection to the 'Table027 (Page 54)' query in the workbook." type="5" refreshedVersion="0" background="1">
    <dbPr connection="Provider=Microsoft.Mashup.OleDb.1;Data Source=$Workbook$;Location=&quot;Table027 (Page 54)&quot;;Extended Properties=&quot;&quot;" command="SELECT * FROM [Table027 (Page 54)]"/>
  </connection>
  <connection id="24" xr16:uid="{3425F61B-A820-42C1-83AC-698A6239CF22}" keepAlive="1" name="Query - Table028 (Page 55)" description="Connection to the 'Table028 (Page 55)' query in the workbook." type="5" refreshedVersion="0" background="1">
    <dbPr connection="Provider=Microsoft.Mashup.OleDb.1;Data Source=$Workbook$;Location=&quot;Table028 (Page 55)&quot;;Extended Properties=&quot;&quot;" command="SELECT * FROM [Table028 (Page 55)]"/>
  </connection>
  <connection id="25" xr16:uid="{1252520D-3E3D-42E3-97B2-F9AFE4A6815E}" keepAlive="1" name="Query - Table029 (Page 56)" description="Connection to the 'Table029 (Page 56)' query in the workbook." type="5" refreshedVersion="0" background="1">
    <dbPr connection="Provider=Microsoft.Mashup.OleDb.1;Data Source=$Workbook$;Location=&quot;Table029 (Page 56)&quot;;Extended Properties=&quot;&quot;" command="SELECT * FROM [Table029 (Page 56)]"/>
  </connection>
  <connection id="26" xr16:uid="{0B9CD7B8-7F4B-4BD3-9BC4-1A8C0D11740E}" keepAlive="1" name="Query - Table030 (Page 57)" description="Connection to the 'Table030 (Page 57)' query in the workbook." type="5" refreshedVersion="0" background="1">
    <dbPr connection="Provider=Microsoft.Mashup.OleDb.1;Data Source=$Workbook$;Location=&quot;Table030 (Page 57)&quot;;Extended Properties=&quot;&quot;" command="SELECT * FROM [Table030 (Page 57)]"/>
  </connection>
  <connection id="27" xr16:uid="{1122D8A5-107C-45F8-A675-B795D4126BD4}" keepAlive="1" name="Query - Table031 (Page 58)" description="Connection to the 'Table031 (Page 58)' query in the workbook." type="5" refreshedVersion="0" background="1">
    <dbPr connection="Provider=Microsoft.Mashup.OleDb.1;Data Source=$Workbook$;Location=&quot;Table031 (Page 58)&quot;;Extended Properties=&quot;&quot;" command="SELECT * FROM [Table031 (Page 58)]"/>
  </connection>
  <connection id="28" xr16:uid="{9637EE07-DBC6-4615-AC5C-E4BF4BA9940F}" keepAlive="1" name="Query - Table032 (Page 59)" description="Connection to the 'Table032 (Page 59)' query in the workbook." type="5" refreshedVersion="0" background="1">
    <dbPr connection="Provider=Microsoft.Mashup.OleDb.1;Data Source=$Workbook$;Location=&quot;Table032 (Page 59)&quot;;Extended Properties=&quot;&quot;" command="SELECT * FROM [Table032 (Page 59)]"/>
  </connection>
  <connection id="29" xr16:uid="{22B5B48C-D4B7-4B32-B18A-97835BFE2DA8}" keepAlive="1" name="Query - Table033 (Page 60)" description="Connection to the 'Table033 (Page 60)' query in the workbook." type="5" refreshedVersion="0" background="1">
    <dbPr connection="Provider=Microsoft.Mashup.OleDb.1;Data Source=$Workbook$;Location=&quot;Table033 (Page 60)&quot;;Extended Properties=&quot;&quot;" command="SELECT * FROM [Table033 (Page 60)]"/>
  </connection>
  <connection id="30" xr16:uid="{A01DFBC1-A548-4C57-9E87-67CFF7CE718B}" keepAlive="1" name="Query - Table034 (Page 61)" description="Connection to the 'Table034 (Page 61)' query in the workbook." type="5" refreshedVersion="0" background="1">
    <dbPr connection="Provider=Microsoft.Mashup.OleDb.1;Data Source=$Workbook$;Location=&quot;Table034 (Page 61)&quot;;Extended Properties=&quot;&quot;" command="SELECT * FROM [Table034 (Page 61)]"/>
  </connection>
  <connection id="31" xr16:uid="{78A9B91A-CA09-4DE8-B91A-9DBEF2DAEE1E}" keepAlive="1" name="Query - Table035 (Page 62)" description="Connection to the 'Table035 (Page 62)' query in the workbook." type="5" refreshedVersion="0" background="1">
    <dbPr connection="Provider=Microsoft.Mashup.OleDb.1;Data Source=$Workbook$;Location=&quot;Table035 (Page 62)&quot;;Extended Properties=&quot;&quot;" command="SELECT * FROM [Table035 (Page 62)]"/>
  </connection>
  <connection id="32" xr16:uid="{BB0EF015-AF1B-44CF-9F3E-72676BFB0ACD}" keepAlive="1" name="Query - Table036 (Page 63)" description="Connection to the 'Table036 (Page 63)' query in the workbook." type="5" refreshedVersion="0" background="1">
    <dbPr connection="Provider=Microsoft.Mashup.OleDb.1;Data Source=$Workbook$;Location=&quot;Table036 (Page 63)&quot;;Extended Properties=&quot;&quot;" command="SELECT * FROM [Table036 (Page 63)]"/>
  </connection>
  <connection id="33" xr16:uid="{B56FA339-7298-4DD7-8CDA-DD66B23B3950}" keepAlive="1" name="Query - Table037 (Page 64)" description="Connection to the 'Table037 (Page 64)' query in the workbook." type="5" refreshedVersion="0" background="1">
    <dbPr connection="Provider=Microsoft.Mashup.OleDb.1;Data Source=$Workbook$;Location=&quot;Table037 (Page 64)&quot;;Extended Properties=&quot;&quot;" command="SELECT * FROM [Table037 (Page 64)]"/>
  </connection>
  <connection id="34" xr16:uid="{8A74A0A9-6202-4AFA-BD33-EC36FB4E40AE}" keepAlive="1" name="Query - Table038 (Page 65)" description="Connection to the 'Table038 (Page 65)' query in the workbook." type="5" refreshedVersion="0" background="1">
    <dbPr connection="Provider=Microsoft.Mashup.OleDb.1;Data Source=$Workbook$;Location=&quot;Table038 (Page 65)&quot;;Extended Properties=&quot;&quot;" command="SELECT * FROM [Table038 (Page 65)]"/>
  </connection>
  <connection id="35" xr16:uid="{D6CED301-D1D5-465B-BD7F-CFA00AC74184}" keepAlive="1" name="Query - Table039 (Page 66)" description="Connection to the 'Table039 (Page 66)' query in the workbook." type="5" refreshedVersion="0" background="1">
    <dbPr connection="Provider=Microsoft.Mashup.OleDb.1;Data Source=$Workbook$;Location=&quot;Table039 (Page 66)&quot;;Extended Properties=&quot;&quot;" command="SELECT * FROM [Table039 (Page 66)]"/>
  </connection>
  <connection id="36" xr16:uid="{89D6063B-646D-4A86-BEF9-76B2CD70F085}" keepAlive="1" name="Query - Urban" description="Connection to the 'Urban' query in the workbook." type="5" refreshedVersion="8" background="1" saveData="1">
    <dbPr connection="Provider=Microsoft.Mashup.OleDb.1;Data Source=$Workbook$;Location=Urban;Extended Properties=&quot;&quot;" command="SELECT * FROM [Urban]"/>
  </connection>
  <connection id="37" xr16:uid="{EE572E2E-1DEF-45A5-8E63-1531333FF506}" keepAlive="1" name="Query - Wholesale" description="Connection to the 'Wholesale' query in the workbook." type="5" refreshedVersion="8" background="1" saveData="1">
    <dbPr connection="Provider=Microsoft.Mashup.OleDb.1;Data Source=$Workbook$;Location=Wholesale;Extended Properties=&quot;&quot;" command="SELECT * FROM [Wholesale]"/>
  </connection>
</connections>
</file>

<file path=xl/sharedStrings.xml><?xml version="1.0" encoding="utf-8"?>
<sst xmlns="http://schemas.openxmlformats.org/spreadsheetml/2006/main" count="2357" uniqueCount="793">
  <si>
    <t>Product</t>
  </si>
  <si>
    <t>Unit</t>
  </si>
  <si>
    <t>Change_%</t>
  </si>
  <si>
    <t>‫Previous_Year</t>
  </si>
  <si>
    <t>Current_Year</t>
  </si>
  <si>
    <t>Q4</t>
  </si>
  <si>
    <t>Q3</t>
  </si>
  <si>
    <t>‫Q2</t>
  </si>
  <si>
    <t>Q1</t>
  </si>
  <si>
    <t>Category</t>
  </si>
  <si>
    <t>‫قمح‬</t>
  </si>
  <si>
    <t>‫150 كجم‬</t>
  </si>
  <si>
    <t>General</t>
  </si>
  <si>
    <t>‫أرز ممسوح‬‏</t>
  </si>
  <si>
    <t>‫طن‬</t>
  </si>
  <si>
    <t>‫ذرة شامية‬</t>
  </si>
  <si>
    <t>‫140 كجم‬</t>
  </si>
  <si>
    <t>‫ذرة رفيعه‬</t>
  </si>
  <si>
    <t>‫فول جاف مكموره‬</t>
  </si>
  <si>
    <t>‫155ك‬</t>
  </si>
  <si>
    <t>‫فول مجروش‬</t>
  </si>
  <si>
    <t>‫عدس صحيح‬</t>
  </si>
  <si>
    <t>‫160 ك‬</t>
  </si>
  <si>
    <t>‫عدس مجروش‬</t>
  </si>
  <si>
    <t>‫لوبيا جافة بلدي‬</t>
  </si>
  <si>
    <t>‫كجم‬</t>
  </si>
  <si>
    <t>‫حلبة‬</t>
  </si>
  <si>
    <t>‫155 كجم‬</t>
  </si>
  <si>
    <t>‫فاصوليا جافة‬</t>
  </si>
  <si>
    <t>‫حمص طبيخ صحيح‬</t>
  </si>
  <si>
    <t>‫ترمس بـلدي‬</t>
  </si>
  <si>
    <t>‫150 ك‬</t>
  </si>
  <si>
    <t>‫شعير‬</t>
  </si>
  <si>
    <t>‫120 ك‬</t>
  </si>
  <si>
    <t>‫بصل كامل النضج‬</t>
  </si>
  <si>
    <t>‫قصب السكر‬</t>
  </si>
  <si>
    <t>‫برسيم تحريش‬</t>
  </si>
  <si>
    <t>‫فدان‬</t>
  </si>
  <si>
    <t>‫فول سودانى بقشرة نىء ) أردب (‬</t>
  </si>
  <si>
    <t>‫75 ك‬</t>
  </si>
  <si>
    <t>‫سمسم نىء‬</t>
  </si>
  <si>
    <t>‫ثـــــــــــوم بــلدي‬</t>
  </si>
  <si>
    <t>‫بطاطــس‬</t>
  </si>
  <si>
    <t>‫طمـــــاطـم‬</t>
  </si>
  <si>
    <t>‫كوسة‬</t>
  </si>
  <si>
    <t>‫خس بلدى‬</t>
  </si>
  <si>
    <t>‫موز كبير الحجم )12صباع فأقل (‬</t>
  </si>
  <si>
    <t>‫موز صغير الحجم أكثرمن12صباع‬</t>
  </si>
  <si>
    <t>‫ليـمون مالــــــــح‬</t>
  </si>
  <si>
    <t>‫120ليمونة‬</t>
  </si>
  <si>
    <t>‫تفاح محلـى‬</t>
  </si>
  <si>
    <t>‫عجوه سائبة بالنوى‬</t>
  </si>
  <si>
    <t>‫سبانخ‬</t>
  </si>
  <si>
    <t>‫قلقاس بدون عرش‬</t>
  </si>
  <si>
    <t>‫بســـــلة‬</t>
  </si>
  <si>
    <t>‫كرنب‬</t>
  </si>
  <si>
    <t>‫بالواحدة‬</t>
  </si>
  <si>
    <t>‫قرنبيط‬</t>
  </si>
  <si>
    <t>‫جزر أصفر بالعرش‬</t>
  </si>
  <si>
    <t>‫خرشوف‬</t>
  </si>
  <si>
    <t>‫بطاطا‬</t>
  </si>
  <si>
    <t>‫لفــت‬</t>
  </si>
  <si>
    <t>‫برتقال بلدى لا يزيد عن 8 ثمرات‬</t>
  </si>
  <si>
    <t>‫برتقال سكرى لا يزيد عن 8 ثمرات‬</t>
  </si>
  <si>
    <t>‫برتقال بسرة‬</t>
  </si>
  <si>
    <t>‫يوسفى نمرة )1( لايزيدعن10ثمرات‬</t>
  </si>
  <si>
    <t>‫بامية خضراء‬</t>
  </si>
  <si>
    <t>‫ملوخيه خضراء‬</t>
  </si>
  <si>
    <t>‫باذنجـــان حشو أبيض‬</t>
  </si>
  <si>
    <t>‫باذنجـــان حشو أسود‬</t>
  </si>
  <si>
    <t>‫باذنجـــان رومى‬</t>
  </si>
  <si>
    <t>‫فلفل أخضررومى‬</t>
  </si>
  <si>
    <t>‫فاصوليا خضراء‬</t>
  </si>
  <si>
    <t>‫خيــــــــــا ر‬</t>
  </si>
  <si>
    <t>‫برتقال صيفى‬</t>
  </si>
  <si>
    <t>‫عنب فيومــــــى‬</t>
  </si>
  <si>
    <t>‫عنب بناتى‬</t>
  </si>
  <si>
    <t>‫رمــــان‬</t>
  </si>
  <si>
    <t>‫مـشـمــش‬</t>
  </si>
  <si>
    <t>‫خوخ‬</t>
  </si>
  <si>
    <t>‫برقوق اصفر‬</t>
  </si>
  <si>
    <t>‫برقوق احمر‬</t>
  </si>
  <si>
    <t>‫فراولــــــــــه‬</t>
  </si>
  <si>
    <t>‫بـطيخ شليان‬</t>
  </si>
  <si>
    <t>‫كنتالوب‬</t>
  </si>
  <si>
    <t>‫شـــــمـام بلدى‬</t>
  </si>
  <si>
    <t>‫كمثــــرى‬</t>
  </si>
  <si>
    <t>‫تين برشومى‬</t>
  </si>
  <si>
    <t>‫مانجو‬‫ســــــنارة‬</t>
  </si>
  <si>
    <t>‫مانجو الفونس‬</t>
  </si>
  <si>
    <t>‫مانجو زبـديـة‬</t>
  </si>
  <si>
    <t>‫مانجو ســـــــكرى‬</t>
  </si>
  <si>
    <t>‫جوافـــــــه‬</t>
  </si>
  <si>
    <t>‫بلح رملـــــى‬</t>
  </si>
  <si>
    <t>‫بلح‬‫أمهات‬</t>
  </si>
  <si>
    <t>‫بلح زغلول‬</t>
  </si>
  <si>
    <t>‫زيتون اخضرتفاحي‬</t>
  </si>
  <si>
    <t>‫زيتون اخضرعزيـــزي‬</t>
  </si>
  <si>
    <t>‫بقرى وجاموسى صغير السن كندوز‬</t>
  </si>
  <si>
    <t>‫بقرى وجاموسى كبير السن‬</t>
  </si>
  <si>
    <t>‫بتلو ) عجول جاموسى (‬</t>
  </si>
  <si>
    <t>‫ضأنى بلدى صغير السن‬</t>
  </si>
  <si>
    <t>‫لحم جملى‬</t>
  </si>
  <si>
    <t>‫ديوك رومى‬</t>
  </si>
  <si>
    <t>‫فراخ رومى‬</t>
  </si>
  <si>
    <t>‫دجاج بلدى‬</t>
  </si>
  <si>
    <t>‫دجاج‬‫ابيض ) سلاله اجنبية (‬</t>
  </si>
  <si>
    <t>‫بـــــــــــط‬</t>
  </si>
  <si>
    <t>‫أوز‬</t>
  </si>
  <si>
    <t>‫أرانب‬</t>
  </si>
  <si>
    <t>‫حمام منزلى )متوسط الحجم (‬</t>
  </si>
  <si>
    <t>‫زوج‬</t>
  </si>
  <si>
    <t>‫البيض مختلف الاحجام بلدي‬</t>
  </si>
  <si>
    <t>‫الالف‬</t>
  </si>
  <si>
    <t>‫البيض مختلف الاحجام مزارع‬</t>
  </si>
  <si>
    <t>‫بيــــــــا ض‬</t>
  </si>
  <si>
    <t>‫بلطــــــى‬</t>
  </si>
  <si>
    <t>‫قراميط‬</t>
  </si>
  <si>
    <t>‫قاروص‬</t>
  </si>
  <si>
    <t>‫بورى‬</t>
  </si>
  <si>
    <t>‫مكرونه‬</t>
  </si>
  <si>
    <t>‫لبن حليب طازج ) سائب (‬</t>
  </si>
  <si>
    <t>‫زبدة بلدى جاموسي‬</t>
  </si>
  <si>
    <t>‫45 كم‬</t>
  </si>
  <si>
    <t>‫زبدة بلدى بقري‬‏</t>
  </si>
  <si>
    <t>‫جبن ابيض كامل الدسم طــازج‬</t>
  </si>
  <si>
    <t>‫جبن ابيض كامل الدسم مخــتزن‬</t>
  </si>
  <si>
    <t>‫جبن ابيض نصف دسم‬</t>
  </si>
  <si>
    <t>‫جبن قريش ) قطع (‬</t>
  </si>
  <si>
    <t>‫عســل نحل معبأ ) بدون شمع (‬</t>
  </si>
  <si>
    <t>‫عســل نحل بالشمع معبأ‬</t>
  </si>
  <si>
    <t>‫كمون بلدى‬</t>
  </si>
  <si>
    <t>‫كســبره‬</t>
  </si>
  <si>
    <t>‫فلفل أسود حب‬</t>
  </si>
  <si>
    <t>‫شطة بلدى‬</t>
  </si>
  <si>
    <t>‫السماد البلدى‬</t>
  </si>
  <si>
    <t>‫م3‬</t>
  </si>
  <si>
    <t>‫نسبة تغیر‬‏
‫عام‬‏
‫عن عام‬‏</t>
  </si>
  <si>
    <t>‫السنة‬‏
‫السابقة‬‏</t>
  </si>
  <si>
    <t>‫السنة‬‏
‫الحالیة‬‏</t>
  </si>
  <si>
    <t>‫دیسمبر‬‏</t>
  </si>
  <si>
    <t>‫نوفمبر‬‏</t>
  </si>
  <si>
    <t>‫اكتوبر‬‏</t>
  </si>
  <si>
    <t>‫سبتمبر‬‏</t>
  </si>
  <si>
    <t>‫اغسطس‬‏</t>
  </si>
  <si>
    <t>‫یولیو‬‏</t>
  </si>
  <si>
    <t>‫یونیو‬‏</t>
  </si>
  <si>
    <t>‫مایو‬‏</t>
  </si>
  <si>
    <t>‫ابریل‬‏</t>
  </si>
  <si>
    <t>‫مارس‬‏</t>
  </si>
  <si>
    <t>‫فبرایر‬‏</t>
  </si>
  <si>
    <t>‫ینایر‬‏</t>
  </si>
  <si>
    <t>‫الوحدة‬</t>
  </si>
  <si>
    <t>Merged</t>
  </si>
  <si>
    <t>Wholesale</t>
  </si>
  <si>
    <t>‫أرز ممسوح‬</t>
  </si>
  <si>
    <t>‫140 ك‬</t>
  </si>
  <si>
    <t>‫بذور عباد الشمس‬</t>
  </si>
  <si>
    <t>‫حبوب فول الصويا‬</t>
  </si>
  <si>
    <t>‫75 ك‬‏</t>
  </si>
  <si>
    <t>‫فول سودانى بقشرة نىء) أردب (‬</t>
  </si>
  <si>
    <t>‫120ك‬</t>
  </si>
  <si>
    <t>‫موز صغير الحجم )أكثرمن12صباع(‬</t>
  </si>
  <si>
    <t>‫بلح جاف سكوتى‬</t>
  </si>
  <si>
    <t>‫كمبوت‬</t>
  </si>
  <si>
    <t>‫خبيــزة‬</t>
  </si>
  <si>
    <t>‫عشرة‬</t>
  </si>
  <si>
    <t>‫بطاطــــا‬</t>
  </si>
  <si>
    <t>‫لفـــت‬</t>
  </si>
  <si>
    <t>‫برتقال سكرى لا يزيد عن 7 ثمرات‬</t>
  </si>
  <si>
    <t>‫يوسفى نمرة )1( ) لايزيدعن10ثمرات(‬</t>
  </si>
  <si>
    <t>‫فلفل أخضر رومى‬</t>
  </si>
  <si>
    <t>‫رمــــــــــــان‬</t>
  </si>
  <si>
    <t>‫مـشـمـــش‬</t>
  </si>
  <si>
    <t>‫بسطرمه‬</t>
  </si>
  <si>
    <t>‫لانشون‬</t>
  </si>
  <si>
    <t>‫سجق ) بلدي (‬</t>
  </si>
  <si>
    <t>‫هامبرجر‬</t>
  </si>
  <si>
    <t>‫بيـــــــا ض‬</t>
  </si>
  <si>
    <t>‫جمبـــــري سويسى قزازى‬</t>
  </si>
  <si>
    <t>‫جمبـــــري ابيض بحيرات‬</t>
  </si>
  <si>
    <t>‫سبيط‬</t>
  </si>
  <si>
    <t>‫سمك ماكريل مجمد‬</t>
  </si>
  <si>
    <t>‫سمك مكرونة مجمد‬</t>
  </si>
  <si>
    <t>‫رنجة‬</t>
  </si>
  <si>
    <t>‫لبن حليب مبستر )مصر للالبان(‬</t>
  </si>
  <si>
    <t>‫330جم‬</t>
  </si>
  <si>
    <t>‫لبن جاف معلب )نيدو(‬</t>
  </si>
  <si>
    <t>‫125جم‬</t>
  </si>
  <si>
    <t>‫زبــــــادى صغير ) عبوة (‬</t>
  </si>
  <si>
    <t>‫أيس كريم كونو‬</t>
  </si>
  <si>
    <t>‫مسلى طبيعى محلى بلدى‬</t>
  </si>
  <si>
    <t>‫7.1كجم‬</t>
  </si>
  <si>
    <t>‫مسلي صناعي‬‫روابي‬</t>
  </si>
  <si>
    <t>‫مسلي صناعي‬‫حياتي‬</t>
  </si>
  <si>
    <t>‫زبدة بلدى‬‫بقري‬</t>
  </si>
  <si>
    <t>‫جبنة نستو ) بريذدون (‬</t>
  </si>
  <si>
    <t>‫جبنة شيدر ) محلي (‬</t>
  </si>
  <si>
    <t>‫جبن رومي قديم‬</t>
  </si>
  <si>
    <t>‫جبنة فلمنك ) محلي (‬</t>
  </si>
  <si>
    <t>‫عســل نحل معبأ بالشمع‬</t>
  </si>
  <si>
    <t>‫عســل نحل معبأ بدون شمع‬</t>
  </si>
  <si>
    <t>‫45 كجم‬</t>
  </si>
  <si>
    <t>‫عسل أسود سائب‬</t>
  </si>
  <si>
    <t>‫طحينه معبأه ) الرشيدي (‬</t>
  </si>
  <si>
    <t>‫زيتون اسود مخلل بالزيت محلى‬</t>
  </si>
  <si>
    <t>‫مخلل مشكل‬</t>
  </si>
  <si>
    <t>‫شاى ) ليبتون (‬</t>
  </si>
  <si>
    <t>‫بن مطحون‬</t>
  </si>
  <si>
    <t>‫200جم‬</t>
  </si>
  <si>
    <t>‫كاكاو باللبن‬</t>
  </si>
  <si>
    <t>‫145جم‬</t>
  </si>
  <si>
    <t>‫ماكريل بالزيت‬</t>
  </si>
  <si>
    <t>‫250 جم‬</t>
  </si>
  <si>
    <t>‫زيت زيتون محلـى‬</t>
  </si>
  <si>
    <t>‫800 جم‬</t>
  </si>
  <si>
    <t>‫زيت ذرة كريستال محلي‬</t>
  </si>
  <si>
    <t>‫زيت عباد الشمس‬</t>
  </si>
  <si>
    <t>‫كراويه بلدي‬</t>
  </si>
  <si>
    <t>‫ينسون محلى‬</t>
  </si>
  <si>
    <t>‫كركدية عادى‬</t>
  </si>
  <si>
    <t>‫بردقوش‬</t>
  </si>
  <si>
    <t>‫السماد البلدي‬</t>
  </si>
  <si>
    <t>‫نسبة تغیر‬‏
‫عام 2025‬‏
‫عن عام‬‏</t>
  </si>
  <si>
    <t>‫السنة السابقة‬‏</t>
  </si>
  <si>
    <t>‫السنة الحالیة‬‏</t>
  </si>
  <si>
    <t>‫الوحدة‬‏</t>
  </si>
  <si>
    <t xml:space="preserve">  ‫قمح بلدي سائب‬</t>
  </si>
  <si>
    <t>Urban</t>
  </si>
  <si>
    <t xml:space="preserve">  ‫ذره شامية بيضاء‬</t>
  </si>
  <si>
    <t xml:space="preserve">  ‫ذره رفيعة صفراء للفيشار‬</t>
  </si>
  <si>
    <t xml:space="preserve">  ‫فول جاف بلدى ) تدميس (‬</t>
  </si>
  <si>
    <t xml:space="preserve">  ‫فول جاف مستورد ) تدميس (‬</t>
  </si>
  <si>
    <t xml:space="preserve">  ‫فول جاف مجروش بلدى‬</t>
  </si>
  <si>
    <t xml:space="preserve">  ‫عدس بجبه صحيح بلدى‬</t>
  </si>
  <si>
    <t xml:space="preserve">  ‫عدس بجبه صحيح مستورد‬</t>
  </si>
  <si>
    <t xml:space="preserve">  ‫عدس مستورد مجروش‬</t>
  </si>
  <si>
    <t xml:space="preserve">  ‫لوبيا جافة بلدي‬</t>
  </si>
  <si>
    <t xml:space="preserve">  ‫لوبيا جافة مستوردة‬</t>
  </si>
  <si>
    <t xml:space="preserve">  ‫فاصوليا جافة بلدى‬</t>
  </si>
  <si>
    <t xml:space="preserve">  ‫حلبه حصى بلدى‬</t>
  </si>
  <si>
    <t xml:space="preserve">  ‫حمص شام متوسط الحجم مستورد‬</t>
  </si>
  <si>
    <t xml:space="preserve">  ‫حمص طبيخ مجروش‬</t>
  </si>
  <si>
    <t xml:space="preserve">  ‫ترمس مستورد‬</t>
  </si>
  <si>
    <t xml:space="preserve">  ‫أرز أبيض بلدى ممتاز سائب‬</t>
  </si>
  <si>
    <t xml:space="preserve">  ‫أرز أبيض بلدى ممتاز )معبأ( ماركة الضحى‬</t>
  </si>
  <si>
    <t xml:space="preserve">  ‫أرز بسمتى أبيض سائب‬</t>
  </si>
  <si>
    <t xml:space="preserve">  ‫أرز بسمتى أبيض ) معبأ ( باكستانى‬</t>
  </si>
  <si>
    <t xml:space="preserve">  ‫فريك سايب أخضر‬</t>
  </si>
  <si>
    <t xml:space="preserve">  ‫دقيق قمح بلدي سائب 72%‬</t>
  </si>
  <si>
    <t xml:space="preserve">  ‫نشا ذرة محلي ناعم سائب‬</t>
  </si>
  <si>
    <t xml:space="preserve">  ‫دقيق سميد سائب‬</t>
  </si>
  <si>
    <t xml:space="preserve">  ‫الثوم قديم بلدى‬</t>
  </si>
  <si>
    <t xml:space="preserve">  ‫الثوم جديد بلدى‬</t>
  </si>
  <si>
    <t xml:space="preserve">  ‫بصل قديم متوسط الحجم‬</t>
  </si>
  <si>
    <t xml:space="preserve">  ‫بصل جديد متوسط الحجم‬</t>
  </si>
  <si>
    <t xml:space="preserve">  ‫بطاطس متوسطة الحجم تحمير‬</t>
  </si>
  <si>
    <t xml:space="preserve">  ‫طماطم متوسطة الحجم‬</t>
  </si>
  <si>
    <t xml:space="preserve">  ‫كوسة صغيرة 7ثمرات فأكثر‬</t>
  </si>
  <si>
    <t xml:space="preserve">  ‫بنجـــر‬</t>
  </si>
  <si>
    <t xml:space="preserve">  ‫موز كبير الحجم مستورد‬</t>
  </si>
  <si>
    <t xml:space="preserve">  ‫موز متوسط الحجم بلدى‬</t>
  </si>
  <si>
    <t xml:space="preserve">  ‫ليمون مالح‬</t>
  </si>
  <si>
    <t xml:space="preserve">  ‫سبانخ‬</t>
  </si>
  <si>
    <t xml:space="preserve">  ‫قلقاس‬</t>
  </si>
  <si>
    <t xml:space="preserve">  ‫بسلة خضراء‬</t>
  </si>
  <si>
    <t xml:space="preserve">  ‫جزر أصفر بدون عرش‬</t>
  </si>
  <si>
    <t>‫واحدة‬</t>
  </si>
  <si>
    <t xml:space="preserve">  ‫قرنبيط متوسط الحجم‬</t>
  </si>
  <si>
    <t xml:space="preserve">  ‫ورق عنب‬</t>
  </si>
  <si>
    <t xml:space="preserve">  ‫كابوتشى‬</t>
  </si>
  <si>
    <t xml:space="preserve">  ‫فول اخضر‬</t>
  </si>
  <si>
    <t xml:space="preserve">  ‫بطاطا صفراء‬</t>
  </si>
  <si>
    <t>‫حزمة‬</t>
  </si>
  <si>
    <t xml:space="preserve">  ‫بقدونس‬</t>
  </si>
  <si>
    <t xml:space="preserve">  ‫جرجير‬</t>
  </si>
  <si>
    <t xml:space="preserve">  ‫بامية خضراء صغيرة الحجم‬</t>
  </si>
  <si>
    <t xml:space="preserve">  ‫ملوخية‬</t>
  </si>
  <si>
    <t xml:space="preserve">  ‫باذنـجان ابيض للحشو‬</t>
  </si>
  <si>
    <t xml:space="preserve">  ‫باذنـجان رومى‬</t>
  </si>
  <si>
    <t xml:space="preserve">  ‫فلفل رومى اخضر بلدى‬</t>
  </si>
  <si>
    <t xml:space="preserve">  ‫فلفل رومى احمرصوبات‬</t>
  </si>
  <si>
    <t xml:space="preserve">  ‫فاصوليا خضراء‬</t>
  </si>
  <si>
    <t xml:space="preserve">  ‫خيار بلدى متوسط الحجم‬</t>
  </si>
  <si>
    <t xml:space="preserve">  ‫خيار صوبات متوسط الحجم‬</t>
  </si>
  <si>
    <t xml:space="preserve">  ‫زيتون اخضر تفاحى‬</t>
  </si>
  <si>
    <t xml:space="preserve">  ‫زيتون اخضر عزيزى‬</t>
  </si>
  <si>
    <t xml:space="preserve">  ‫يوسفي بلدي‬</t>
  </si>
  <si>
    <t xml:space="preserve">  ‫يوسفى أحمر‬</t>
  </si>
  <si>
    <t xml:space="preserve">  ‫رمان‬</t>
  </si>
  <si>
    <t xml:space="preserve">  ‫فراولة‬</t>
  </si>
  <si>
    <t xml:space="preserve">  ‫كنتالوب‬</t>
  </si>
  <si>
    <t xml:space="preserve">  ‫قرع العسل‬‏</t>
  </si>
  <si>
    <t xml:space="preserve">  ‫برتقال صيفى‬</t>
  </si>
  <si>
    <t xml:space="preserve">  ‫مشمش حموى‬</t>
  </si>
  <si>
    <t xml:space="preserve">  ‫عنب احمر فيومى‬</t>
  </si>
  <si>
    <t xml:space="preserve">  ‫عنب بناتي‬</t>
  </si>
  <si>
    <t xml:space="preserve">  ‫خوخ بلدى‬</t>
  </si>
  <si>
    <t xml:space="preserve">  ‫كمثرى بلدى‬</t>
  </si>
  <si>
    <t xml:space="preserve">  ‫برقوق أحمر بلدى‬</t>
  </si>
  <si>
    <t xml:space="preserve">  ‫تين برشومى‬</t>
  </si>
  <si>
    <t xml:space="preserve">  ‫مانـجو الفونس‬</t>
  </si>
  <si>
    <t xml:space="preserve">  ‫مانـجو زبدية‬</t>
  </si>
  <si>
    <t xml:space="preserve">  ‫مانـجو سكرى‬</t>
  </si>
  <si>
    <t xml:space="preserve">  ‫جوافه‬</t>
  </si>
  <si>
    <t xml:space="preserve"> ‫بلح امهات‬ </t>
  </si>
  <si>
    <t xml:space="preserve"> ‫بلح رملى‬ </t>
  </si>
  <si>
    <t xml:space="preserve"> ‫بلح سمانى‬ </t>
  </si>
  <si>
    <t xml:space="preserve"> ‫بلح زغلول‬ </t>
  </si>
  <si>
    <t xml:space="preserve"> ‫عجوة سائبة بالنوى‬ </t>
  </si>
  <si>
    <t xml:space="preserve"> ‫كاكا‬ </t>
  </si>
  <si>
    <t xml:space="preserve"> ‫تفاح بلدى‬ </t>
  </si>
  <si>
    <t xml:space="preserve"> ‫تفاح مستورد احمرامريكانى‬ </t>
  </si>
  <si>
    <t xml:space="preserve"> ‫تفاح مستورد اصفر لبنانى‬ </t>
  </si>
  <si>
    <t xml:space="preserve"> ‫لحم ضأن بالعظم خراف‬ </t>
  </si>
  <si>
    <t xml:space="preserve"> ‫خروف حى قائم‬ </t>
  </si>
  <si>
    <t xml:space="preserve"> ‫لحم جملى مشفى صغير السن‬ </t>
  </si>
  <si>
    <t xml:space="preserve"> ‫لحم بقرى وجاموسى كبير السن بلدى‬ </t>
  </si>
  <si>
    <t xml:space="preserve">  ‫كبده بلدى كندوز طازج‬</t>
  </si>
  <si>
    <t xml:space="preserve">  ‫لحم مجمد )وطنية(‬</t>
  </si>
  <si>
    <t xml:space="preserve">  ‫لحم بقري مجمده مستورد برازيلى‬</t>
  </si>
  <si>
    <t xml:space="preserve">  ‫بسطرمة شرائح عريضة )ك(‬</t>
  </si>
  <si>
    <t>‫عبوة‬</t>
  </si>
  <si>
    <t xml:space="preserve">  ‫همبورجر فرج ﷲ )10 قطع(‬</t>
  </si>
  <si>
    <t xml:space="preserve">  ‫لانشون لحمة سادة ) حلواني(‬</t>
  </si>
  <si>
    <t xml:space="preserve">  ‫ممبار جاموسي متوسط السن‬</t>
  </si>
  <si>
    <t>‫الواحدة‬</t>
  </si>
  <si>
    <t xml:space="preserve">  ‫كارع بقرى وجاموسى )امامى( بالواحد‬</t>
  </si>
  <si>
    <t xml:space="preserve">  ‫ديوك رومي بلدى‬</t>
  </si>
  <si>
    <t xml:space="preserve">  ‫دجاج بلدى‬</t>
  </si>
  <si>
    <t xml:space="preserve">  ‫دجاج أبيض مزارع‬</t>
  </si>
  <si>
    <t xml:space="preserve">  ‫بط بلدى‬</t>
  </si>
  <si>
    <t xml:space="preserve">  ‫أوز بلدى‬</t>
  </si>
  <si>
    <t xml:space="preserve">  ‫أرانب بلدى‬</t>
  </si>
  <si>
    <t xml:space="preserve">  ‫حمام متوسط الحجم بلدى‬</t>
  </si>
  <si>
    <t xml:space="preserve">  ‫بيض ابيض مزارع متوسط الحجم‬</t>
  </si>
  <si>
    <t xml:space="preserve">  ‫بيض بلدى‬</t>
  </si>
  <si>
    <t xml:space="preserve">  ‫بيض احمر مزارع متوسط الحجم‬</t>
  </si>
  <si>
    <t xml:space="preserve">  ‫دجاج مقطع )ناجتس(‬</t>
  </si>
  <si>
    <t xml:space="preserve">  ‫اوراك دجاج طازجة‬</t>
  </si>
  <si>
    <t xml:space="preserve">  ‫صدور دجاج مقطع )بانية(‬</t>
  </si>
  <si>
    <t xml:space="preserve">  ‫كبد وقوانص طازجة‬</t>
  </si>
  <si>
    <t xml:space="preserve">  ‫سمك بياض متوسط )2 - 4(‬</t>
  </si>
  <si>
    <t xml:space="preserve">  ‫سمك بلطي متوسط )4-6(‬</t>
  </si>
  <si>
    <t xml:space="preserve">  ‫سمك قراميط متوسط )2-4(‬</t>
  </si>
  <si>
    <t xml:space="preserve">  ‫سمك بوري متوسط )4-6(‬</t>
  </si>
  <si>
    <t xml:space="preserve">  ‫سمك مكرونة متوسط )12-16(‬</t>
  </si>
  <si>
    <t>‫سمك قشر بياض متوسط‬  ‫)كجم(‬</t>
  </si>
  <si>
    <t xml:space="preserve">‫كابوريا متوسط‬ ‫)كجم(‬ </t>
  </si>
  <si>
    <t xml:space="preserve">‫سبيط بلدى متوسط‬ ‫)كجم(‬ </t>
  </si>
  <si>
    <t xml:space="preserve">‫سمك ماكريل مجمد‬ ‫)كجم(‬ </t>
  </si>
  <si>
    <t xml:space="preserve">‫سمك مكرونة مجمد )كجم(‬  </t>
  </si>
  <si>
    <t xml:space="preserve">‫فسيخ بلدى )كجم(‬  </t>
  </si>
  <si>
    <t xml:space="preserve">‫سردين )كجم(‬  </t>
  </si>
  <si>
    <t xml:space="preserve">‫ملوحة )كجم(‬‏  </t>
  </si>
  <si>
    <t xml:space="preserve">‫رنـجه محلية سائبة‬ ‫)كجم(‬ </t>
  </si>
  <si>
    <t xml:space="preserve">‫لبن حليب سائب طازج‬  </t>
  </si>
  <si>
    <t>‫1/2 كجم‬</t>
  </si>
  <si>
    <t xml:space="preserve">‫كيس لبن مبسترمعبأ بخيره‬  </t>
  </si>
  <si>
    <t>‫325 جم‬</t>
  </si>
  <si>
    <t xml:space="preserve">‫علبة لبن جاف‬ ‫)علبة كرتون ( نيدو‬ </t>
  </si>
  <si>
    <t>‫940 جم‬</t>
  </si>
  <si>
    <t xml:space="preserve">‫علبة لبن جاف ) علبة كرتون ( نيدو‬  </t>
  </si>
  <si>
    <t>‫400 جم‬</t>
  </si>
  <si>
    <t xml:space="preserve"> ‫علبة لبن مدعم بيبى لاك‬ ‫رقم )1(‬</t>
  </si>
  <si>
    <t xml:space="preserve"> ‫لبن رايب )علبة كرتون ( جهينة‬ </t>
  </si>
  <si>
    <t>‫350 جم‬</t>
  </si>
  <si>
    <t xml:space="preserve"> ‫علبة سيريلاك للاطفال قمح‬ </t>
  </si>
  <si>
    <t xml:space="preserve"> ‫جبن كامل الدسم طازج دومتى‬ </t>
  </si>
  <si>
    <t xml:space="preserve"> ‫جبن رومى قديم‬ </t>
  </si>
  <si>
    <t xml:space="preserve"> ‫جبن رومى جديد‬ </t>
  </si>
  <si>
    <t xml:space="preserve"> ‫جبنة قريش سائب سوق‬ ‫مفتوح‬</t>
  </si>
  <si>
    <t xml:space="preserve"> ‫جبن قديم قطع سائبة‬ ‫سوق مفتوح‬</t>
  </si>
  <si>
    <t>‫500 جم‬</t>
  </si>
  <si>
    <t xml:space="preserve"> ‫جبنة فيتا )علبة كرتون ( دومتي‬ </t>
  </si>
  <si>
    <t xml:space="preserve"> ‫جبن فلمنك مستورد فريكو‬ </t>
  </si>
  <si>
    <t>‫115 جم‬</t>
  </si>
  <si>
    <t xml:space="preserve"> ‫جبن ركفورد مثلث فرنساوى‬ </t>
  </si>
  <si>
    <t xml:space="preserve"> ‫علبة جبنة كيرى 8 قطع‬ ‫مربعات‬</t>
  </si>
  <si>
    <t xml:space="preserve"> ‫قشدة سائبة‬ </t>
  </si>
  <si>
    <t>‫200 جم‬</t>
  </si>
  <si>
    <t xml:space="preserve"> ‫علبة لبن بالفواكه جهينة‬ </t>
  </si>
  <si>
    <t xml:space="preserve"> ‫الزبد البلدي جاموسى سائبة‬ </t>
  </si>
  <si>
    <t xml:space="preserve"> ‫الزبد البلدي بقرى سائبة‬ </t>
  </si>
  <si>
    <t xml:space="preserve"> ‫زبدة بقرى مستورد نيوزلاندى‬ </t>
  </si>
  <si>
    <t>‫110 جم‬</t>
  </si>
  <si>
    <t xml:space="preserve"> ‫علبة لبن زبادى جهينة‬ </t>
  </si>
  <si>
    <t>‫125 جم‬</t>
  </si>
  <si>
    <t xml:space="preserve"> ‫لبن زبادى بالفواكه نستلة‬ </t>
  </si>
  <si>
    <t>‫7,1 كجم‬</t>
  </si>
  <si>
    <t xml:space="preserve"> ‫مسلى صناعي روابى علبة صفيح‬ </t>
  </si>
  <si>
    <t>‫850 جم‬</t>
  </si>
  <si>
    <t xml:space="preserve"> ‫مسلى صناعي جنه علبة صفيح‬ </t>
  </si>
  <si>
    <t xml:space="preserve"> ‫عسل نحل معبأ امتنان برطمان زجاج‬ </t>
  </si>
  <si>
    <t xml:space="preserve"> ‫عسل اسود سائب‬ </t>
  </si>
  <si>
    <t xml:space="preserve"> ‫طحينة سائبة‬ </t>
  </si>
  <si>
    <t xml:space="preserve"> ‫زيتون اخضر مخلل بلدي سادة‬ </t>
  </si>
  <si>
    <t xml:space="preserve"> ‫زيتون اسود مخلل بلدي سائب سادة‬ </t>
  </si>
  <si>
    <t xml:space="preserve"> ‫حلاوه طحينيه سائبة‬ </t>
  </si>
  <si>
    <t xml:space="preserve"> ‫مكرونة سائبة‬ </t>
  </si>
  <si>
    <t xml:space="preserve"> ‫مكرونه عاديه معبأة الملكة‬ </t>
  </si>
  <si>
    <t xml:space="preserve"> ‫كيس مكرونة أقلام روجينا معباه‬ </t>
  </si>
  <si>
    <t xml:space="preserve"> ‫كيس مكرونة مستوردة ايطاليانو‬ </t>
  </si>
  <si>
    <t xml:space="preserve"> ‫كيس مكرونة مستوردة لازانيا‬ </t>
  </si>
  <si>
    <t xml:space="preserve"> ‫ملح ناعم باكو‬ </t>
  </si>
  <si>
    <t>‫15 جم‬</t>
  </si>
  <si>
    <t xml:space="preserve"> ‫كيس شيبسى صغير‬ </t>
  </si>
  <si>
    <t>‫73-83 جم‬</t>
  </si>
  <si>
    <t xml:space="preserve"> ‫كيس شيبسى عائلى كبير‬ </t>
  </si>
  <si>
    <t>‫450 جم‬</t>
  </si>
  <si>
    <t xml:space="preserve"> ‫كيس ملوخية مجمدة مونتانا‬ </t>
  </si>
  <si>
    <t xml:space="preserve"> ‫كيس باميه مجمده مونتانا‬ </t>
  </si>
  <si>
    <t>450</t>
  </si>
  <si>
    <t xml:space="preserve"> ‫كيس بسلة مجمدة مونتانا‬ </t>
  </si>
  <si>
    <t xml:space="preserve"> ‫كيس خضار مشكل مجمد مونتانا‬ </t>
  </si>
  <si>
    <t xml:space="preserve"> ‫علبة سردين بالزيت مستورد سردينو‬ </t>
  </si>
  <si>
    <t xml:space="preserve"> ‫علبة فول مدمس ) أمريكانا (‬ </t>
  </si>
  <si>
    <t>‫425 جم‬</t>
  </si>
  <si>
    <t xml:space="preserve"> ‫علبة مشروم وشرائح )دريان(‬ </t>
  </si>
  <si>
    <t xml:space="preserve"> ‫علبة ذرة صفراء حلوة‬ </t>
  </si>
  <si>
    <t>‫لتر‬</t>
  </si>
  <si>
    <t xml:space="preserve"> ‫زجاجة خل ابيض هاينز‬ </t>
  </si>
  <si>
    <t xml:space="preserve"> ‫زجاجة خل التفاح‬ </t>
  </si>
  <si>
    <t>‫1 جم‬</t>
  </si>
  <si>
    <t xml:space="preserve"> ‫كيس فانيليا كوكس‬ </t>
  </si>
  <si>
    <t>‫16 جم‬</t>
  </si>
  <si>
    <t xml:space="preserve"> ‫باكو بيكنج بودر سان جورج‬ </t>
  </si>
  <si>
    <t>‫واحد‬</t>
  </si>
  <si>
    <t xml:space="preserve"> ‫كيس خميرة فورية صغير‬ </t>
  </si>
  <si>
    <t>‫2 مكعب‬</t>
  </si>
  <si>
    <t xml:space="preserve"> ‫مرقة دجاج ماجى‬ </t>
  </si>
  <si>
    <t xml:space="preserve"> ‫بن مطحون سائب‬ </t>
  </si>
  <si>
    <t xml:space="preserve"> ‫علبة كاكاو كروونا بالسكر‬ </t>
  </si>
  <si>
    <t xml:space="preserve"> ‫كيس سكر بودرة الضحى‬ </t>
  </si>
  <si>
    <t xml:space="preserve"> ‫كيس سكر مبلور معبأ الضحى‬ </t>
  </si>
  <si>
    <t xml:space="preserve"> ‫كيس سكر مبلور معبأ النهار‬ </t>
  </si>
  <si>
    <t>‫100 جم‬</t>
  </si>
  <si>
    <t xml:space="preserve">‫باكو شاى ليبتون خرز‬  </t>
  </si>
  <si>
    <t>‫40 جم‬</t>
  </si>
  <si>
    <t xml:space="preserve">‫باكو شاى العروسة ناعم‬  </t>
  </si>
  <si>
    <t>‫380 جم‬</t>
  </si>
  <si>
    <t xml:space="preserve">‫مربة تين فيتراك‬  </t>
  </si>
  <si>
    <t>‫340 جم‬</t>
  </si>
  <si>
    <t xml:space="preserve">‫مربة مشمش فرج ﷲ‬  </t>
  </si>
  <si>
    <t xml:space="preserve">‫فلفل اسود حصى‬  </t>
  </si>
  <si>
    <t xml:space="preserve">‫كمون بلدى صحيح غربلة كاملة‬  </t>
  </si>
  <si>
    <t xml:space="preserve">‫كركدية اسوانى‬  </t>
  </si>
  <si>
    <t xml:space="preserve">‫زنجبيل مستورد )بودر(‬  </t>
  </si>
  <si>
    <t xml:space="preserve">‫ينسون بلدى غربلة كاملة‬  </t>
  </si>
  <si>
    <t xml:space="preserve">‫زيت عباد الشمس كريستال‬  </t>
  </si>
  <si>
    <t xml:space="preserve">‫زيت ذرة كريستال‬  </t>
  </si>
  <si>
    <t xml:space="preserve">‫زيت مخلوط ) الحلوة-هنادي (‬  </t>
  </si>
  <si>
    <t xml:space="preserve">  ‫بندق مقشر‬</t>
  </si>
  <si>
    <t xml:space="preserve">  ‫عين جمل بقشره‬</t>
  </si>
  <si>
    <t xml:space="preserve">  ‫لب ابيض مملح‬</t>
  </si>
  <si>
    <t xml:space="preserve">  ‫لب سوبر‬</t>
  </si>
  <si>
    <t xml:space="preserve">  ‫فول سوداني محمص بقشره‬</t>
  </si>
  <si>
    <t xml:space="preserve">  ‫فول سوداني محمص مقشر‬</t>
  </si>
  <si>
    <t xml:space="preserve">  ‫بلح جاف سكوتى‬</t>
  </si>
  <si>
    <t xml:space="preserve">  ‫زبيب إيرانى سائب‬</t>
  </si>
  <si>
    <t xml:space="preserve">  ‫مشمشيه سائبة‬</t>
  </si>
  <si>
    <t xml:space="preserve">  ‫قراصيا إيرانى سائبة‬</t>
  </si>
  <si>
    <t xml:space="preserve">  ‫لفة تين مجفف إيرانى‬</t>
  </si>
  <si>
    <t xml:space="preserve">  ‫لفة قمر الدين سورى‬</t>
  </si>
  <si>
    <t xml:space="preserve">  ‫سمسمية‬</t>
  </si>
  <si>
    <t xml:space="preserve">  ‫ملبن بعين الجمل‬</t>
  </si>
  <si>
    <t xml:space="preserve">  ‫شيكولاتة سادة كوفرتينا‬</t>
  </si>
  <si>
    <t>‫45 جم‬</t>
  </si>
  <si>
    <t xml:space="preserve">  ‫شيكولاتة كادبري‬</t>
  </si>
  <si>
    <t xml:space="preserve"> ‫بنبون محشي سيما‬ </t>
  </si>
  <si>
    <t xml:space="preserve"> ‫بنبون ملوكى ساده‬ </t>
  </si>
  <si>
    <t xml:space="preserve"> ‫باكو لبان تشكلس فواكة 10 حبات‬ </t>
  </si>
  <si>
    <t xml:space="preserve"> ‫كيس ويندوز‬ </t>
  </si>
  <si>
    <t>‫6 قطع‬</t>
  </si>
  <si>
    <t xml:space="preserve"> ‫بسكويت بالشىكولاتة‬ ‫)بوريو(‬</t>
  </si>
  <si>
    <t>‫70 جم‬</t>
  </si>
  <si>
    <t xml:space="preserve"> ‫باكو بسكويت ) ماري (‬ </t>
  </si>
  <si>
    <t xml:space="preserve"> ‫سفن اب ) كانز(‬ </t>
  </si>
  <si>
    <t xml:space="preserve"> ‫بيبسى بلاستيك‬ </t>
  </si>
  <si>
    <t>‫5,1 لتر‬</t>
  </si>
  <si>
    <t xml:space="preserve"> ‫زجاجة مياه معدنية ) بركة (‬ </t>
  </si>
  <si>
    <t>‫350 مل‬</t>
  </si>
  <si>
    <t xml:space="preserve"> ‫بيرة الأهرام كانز‬ </t>
  </si>
  <si>
    <t>‫200 مل‬</t>
  </si>
  <si>
    <t xml:space="preserve"> ‫عصير تفاح ) علبة كرتون ( جهينة‬ </t>
  </si>
  <si>
    <t xml:space="preserve"> ‫عصير مانجو ) علبة كرتون ( جهينة‬ </t>
  </si>
  <si>
    <t xml:space="preserve"> ‫برطمان برتقال تانج محلي‬ </t>
  </si>
  <si>
    <t>‫105 جم‬</t>
  </si>
  <si>
    <t xml:space="preserve"> ‫ايس كريم دولسيكا كونو‬ </t>
  </si>
  <si>
    <t>‫850 مل‬</t>
  </si>
  <si>
    <t xml:space="preserve"> ‫علبة ايس كريم دولسيكا‬ </t>
  </si>
  <si>
    <t>‫80 جم‬</t>
  </si>
  <si>
    <t xml:space="preserve"> ‫باكو جيلى كوكس‬ </t>
  </si>
  <si>
    <t>‫770 جم‬</t>
  </si>
  <si>
    <t xml:space="preserve"> ‫زجاجة شربات مانجو طبيعي فرج ﷲ‬ </t>
  </si>
  <si>
    <t>‫360 جم‬</t>
  </si>
  <si>
    <t xml:space="preserve"> ‫صلصة طماطم فاين فودز‬ </t>
  </si>
  <si>
    <t xml:space="preserve"> ‫زجاجة كاتشب هاينز‬ </t>
  </si>
  <si>
    <t>‫علبة‬</t>
  </si>
  <si>
    <t xml:space="preserve"> ‫كليوباترة عادي علبة‬ ‫)20 سيجارة(‬</t>
  </si>
  <si>
    <t xml:space="preserve"> ‫كليوباترا سوبر علبة‬ ‫)20 سيجارة(‬</t>
  </si>
  <si>
    <t xml:space="preserve"> ‫مارلبورو ابيض علبة‬ ‫)20 سيجارة(‬</t>
  </si>
  <si>
    <t xml:space="preserve"> ‫ابيض علبة‬ LM ( سيجارة 20)</t>
  </si>
  <si>
    <t xml:space="preserve"> ‫باكو دخان معسل ) نخلة (‬ </t>
  </si>
  <si>
    <t>‫65 جم‬</t>
  </si>
  <si>
    <t xml:space="preserve"> ‫باكو دخان معسل ) قص (‬ </t>
  </si>
  <si>
    <t>‫600 جم‬</t>
  </si>
  <si>
    <t xml:space="preserve"> ‫كيس شرائح التوست الابيض)معبا(‬ </t>
  </si>
  <si>
    <t xml:space="preserve"> ‫بقسماط عصا بالسمسم‬ </t>
  </si>
  <si>
    <t xml:space="preserve"> ‫فايش بالكركم‬ </t>
  </si>
  <si>
    <t xml:space="preserve"> ‫كعب الغزال‬ </t>
  </si>
  <si>
    <t xml:space="preserve"> ‫بيتى فور مربى‬ </t>
  </si>
  <si>
    <t xml:space="preserve"> ‫كعك سادة بالسمن البلدي‬ </t>
  </si>
  <si>
    <t>‫واحده‬</t>
  </si>
  <si>
    <t xml:space="preserve"> ‫قطعة كرواسو من‬ ‫الحلوانى‬</t>
  </si>
  <si>
    <t xml:space="preserve"> ‫لفة جلاش الزهار‬ </t>
  </si>
  <si>
    <t xml:space="preserve"> ‫بيتزا جاهزة حجم صغير بالجبنة‬ </t>
  </si>
  <si>
    <t>‫3 قطع‬</t>
  </si>
  <si>
    <t xml:space="preserve"> ‫بيتزا متوسطة الحجم فرج ﷲ‬ </t>
  </si>
  <si>
    <t>‫50 ورقه‬</t>
  </si>
  <si>
    <t xml:space="preserve"> ‫سمبوسك )معبأ(‬ </t>
  </si>
  <si>
    <t xml:space="preserve"> ‫قطعة جاتوه حجم متوسط‬ ‫)فاخر(‬</t>
  </si>
  <si>
    <t xml:space="preserve"> ‫رغيف بلدي محسن‬ </t>
  </si>
  <si>
    <t xml:space="preserve"> ‫خبز سن‬ </t>
  </si>
  <si>
    <t xml:space="preserve"> ‫رغيف شامى كبير‬ </t>
  </si>
  <si>
    <t xml:space="preserve"> ‫قمح بلدي سائب‬</t>
  </si>
  <si>
    <t>Rural</t>
  </si>
  <si>
    <t xml:space="preserve"> ‫ذره شامية بيضاء‬</t>
  </si>
  <si>
    <t xml:space="preserve"> ‫ذره رفيعة صفراء للفيشار‬</t>
  </si>
  <si>
    <t xml:space="preserve"> ‫فول جاف بلدى ) تدميس (‬</t>
  </si>
  <si>
    <t xml:space="preserve"> ‫فول جاف مستورد ) تدميس (‬</t>
  </si>
  <si>
    <t xml:space="preserve"> ‫فول جاف مجروش بلدى‬</t>
  </si>
  <si>
    <t xml:space="preserve"> ‫عدس بجبه صحيح بلدى‬</t>
  </si>
  <si>
    <t xml:space="preserve"> ‫عدس بجبه صحيح مستورد‬</t>
  </si>
  <si>
    <t xml:space="preserve"> ‫عدس مستورد مجروش‬</t>
  </si>
  <si>
    <t xml:space="preserve"> ‫لوبيا جافة بلدي‬</t>
  </si>
  <si>
    <t xml:space="preserve"> ‫لوبيا جافة مستوردة‬</t>
  </si>
  <si>
    <t xml:space="preserve"> ‫فاصوليا جافة بلدى‬</t>
  </si>
  <si>
    <t xml:space="preserve"> ‫حلبه حصى بلدى‬</t>
  </si>
  <si>
    <t xml:space="preserve"> ‫حمص شام متوسط الحجم مستورد‬</t>
  </si>
  <si>
    <t xml:space="preserve"> ‫حمص طبيخ مجروش‬</t>
  </si>
  <si>
    <t xml:space="preserve"> ‫ترمس مستورد‬</t>
  </si>
  <si>
    <t xml:space="preserve"> ‫كوسة صغيرة 7ثمرات فأكثر‬</t>
  </si>
  <si>
    <t xml:space="preserve"> ‫بنجـــر‬</t>
  </si>
  <si>
    <t xml:space="preserve"> ‫موز كبير الحجم مستورد‬</t>
  </si>
  <si>
    <t xml:space="preserve"> ‫موز متوسط الحجم بلدى‬</t>
  </si>
  <si>
    <t xml:space="preserve"> ‫ليمون مالح‬</t>
  </si>
  <si>
    <t xml:space="preserve"> ‫سبانخ‬</t>
  </si>
  <si>
    <t xml:space="preserve"> ‫قلقاس‬</t>
  </si>
  <si>
    <t xml:space="preserve"> ‫بسلة خضراء‬</t>
  </si>
  <si>
    <t xml:space="preserve"> ‫جزر أصفر بدون عرش‬</t>
  </si>
  <si>
    <t xml:space="preserve"> ‫كرنب متوسط الحجم بالواحدة )2-3( )ك(‬</t>
  </si>
  <si>
    <t xml:space="preserve"> ‫قرنبيط متوسط الحجم‬</t>
  </si>
  <si>
    <t xml:space="preserve"> ‫ورق عنب‬</t>
  </si>
  <si>
    <t xml:space="preserve"> ‫كابوتشى‬</t>
  </si>
  <si>
    <t xml:space="preserve"> ‫فول اخضر‬</t>
  </si>
  <si>
    <t xml:space="preserve"> ‫بطاطا صفراء‬</t>
  </si>
  <si>
    <t xml:space="preserve"> ‫بقدونس حزمة‬</t>
  </si>
  <si>
    <t xml:space="preserve"> ‫جرجير حزمة‬</t>
  </si>
  <si>
    <t xml:space="preserve"> ‫بامية خضراء صغيرة الحجم‬</t>
  </si>
  <si>
    <t xml:space="preserve"> ‫ملوخية‬</t>
  </si>
  <si>
    <t xml:space="preserve"> ‫باذنـجان ابيض للحشو‬</t>
  </si>
  <si>
    <t xml:space="preserve"> ‫باذنـجان رومى‬</t>
  </si>
  <si>
    <t xml:space="preserve"> ‫فلفل رومى اخضر بلدى‬</t>
  </si>
  <si>
    <t xml:space="preserve"> ‫فلفل رومى احمرصوبات‬</t>
  </si>
  <si>
    <t xml:space="preserve"> ‫فاصوليا خضراء‬</t>
  </si>
  <si>
    <t xml:space="preserve"> ‫خيار بلدى متوسط الحجم‬</t>
  </si>
  <si>
    <t xml:space="preserve"> ‫خيار صوبات متوسط الحجم‬</t>
  </si>
  <si>
    <t xml:space="preserve"> ‫زيتون اخضر تفاحى‬</t>
  </si>
  <si>
    <t xml:space="preserve"> ‫زيتون اخضر عزيزى‬</t>
  </si>
  <si>
    <t xml:space="preserve"> ‫برتقال بلدى )ك( لايزيد عن 8 ثمرات‬</t>
  </si>
  <si>
    <t xml:space="preserve"> ‫برتقال سكرى )ك( لايزيد عن7 ثمرات‬</t>
  </si>
  <si>
    <t xml:space="preserve"> ‫برتقال بسرة )ك( لايزيد عن 6 ثمرات‬</t>
  </si>
  <si>
    <t xml:space="preserve"> ‫يوسفي بلدي‬</t>
  </si>
  <si>
    <t xml:space="preserve"> ‫يوسفى أحمر‬</t>
  </si>
  <si>
    <t xml:space="preserve"> ‫رمان‬</t>
  </si>
  <si>
    <t xml:space="preserve"> ‫فراولة‬</t>
  </si>
  <si>
    <t xml:space="preserve"> ‫بطيخ شليان او جيزة) اقل من 6 كجم (‬</t>
  </si>
  <si>
    <t xml:space="preserve"> ‫بطيخ شليان او جيزة )اكثر من 6 كجم (‬</t>
  </si>
  <si>
    <t xml:space="preserve"> ‫كنتالوب‬</t>
  </si>
  <si>
    <t xml:space="preserve"> ‫قرع العسل‬‏</t>
  </si>
  <si>
    <t xml:space="preserve"> ‫برتقال صيفى‬</t>
  </si>
  <si>
    <t xml:space="preserve"> ‫مشمش حموى‬</t>
  </si>
  <si>
    <t xml:space="preserve"> ‫عنب احمر فيومى‬</t>
  </si>
  <si>
    <t xml:space="preserve"> ‫عنب بناتي‬</t>
  </si>
  <si>
    <t xml:space="preserve"> ‫خوخ بلدى‬</t>
  </si>
  <si>
    <t xml:space="preserve"> ‫كمثرى بلدى‬</t>
  </si>
  <si>
    <t xml:space="preserve"> ‫برقوق أحمر بلدى‬</t>
  </si>
  <si>
    <t xml:space="preserve"> ‫تين برشومى‬</t>
  </si>
  <si>
    <t xml:space="preserve"> ‫مانـجو الفونس‬</t>
  </si>
  <si>
    <t xml:space="preserve"> ‫مانـجو زبدية‬</t>
  </si>
  <si>
    <t xml:space="preserve"> ‫مانـجو سكرى‬</t>
  </si>
  <si>
    <t xml:space="preserve"> ‫جوافه‬</t>
  </si>
  <si>
    <t xml:space="preserve"> ‫بلح امهات‬</t>
  </si>
  <si>
    <t xml:space="preserve"> ‫بلح رملى‬</t>
  </si>
  <si>
    <t xml:space="preserve"> ‫بلح سمانى‬</t>
  </si>
  <si>
    <t xml:space="preserve"> ‫بلح زغلول‬</t>
  </si>
  <si>
    <t xml:space="preserve"> ‫عجوة سائبة بالنوى‬</t>
  </si>
  <si>
    <t xml:space="preserve"> ‫كاكا‬</t>
  </si>
  <si>
    <t xml:space="preserve"> ‫تفاح بلدى‬</t>
  </si>
  <si>
    <t xml:space="preserve"> ‫تفاح مستورد احمرامريكانى‬</t>
  </si>
  <si>
    <t xml:space="preserve"> ‫تفاح مستورد اصفر لبنانى‬</t>
  </si>
  <si>
    <t xml:space="preserve"> ‫لحم جاموسى صغير السن )بتلو( بالعظم أمامى‬</t>
  </si>
  <si>
    <t xml:space="preserve"> ‫لحم بقرى وجاموسى متوسط السن كندوز مشفى‬</t>
  </si>
  <si>
    <t xml:space="preserve"> ‫لحم يقرى وجاموسى مشفى كبير السن‬</t>
  </si>
  <si>
    <t xml:space="preserve"> ‫لحم ضأن بالعظم خراف‬</t>
  </si>
  <si>
    <t xml:space="preserve"> ‫لحم جملى مشفى صغير السن‬</t>
  </si>
  <si>
    <t xml:space="preserve"> ‫لحم بقرى وجاموسى كبير السن بلدى )مفروم(‬</t>
  </si>
  <si>
    <t xml:space="preserve"> ‫كبده بلدى كندوز طازج‬</t>
  </si>
  <si>
    <t xml:space="preserve"> ‫مخ بلدى جاموسى طازج ) متوسط الحجم (‬</t>
  </si>
  <si>
    <t xml:space="preserve"> ‫لحم مجمد )وطنية(‬</t>
  </si>
  <si>
    <t xml:space="preserve"> ‫لحم بقري مجمده مستورد برازيلى‬</t>
  </si>
  <si>
    <t xml:space="preserve"> ‫بسطرمة شرائح عريضة‬</t>
  </si>
  <si>
    <t xml:space="preserve"> ‫همبورجر فرج ﷲ )10 قطع(‬</t>
  </si>
  <si>
    <t xml:space="preserve"> ‫لانشون لحمة سادة ) حلواني(‬</t>
  </si>
  <si>
    <t xml:space="preserve"> ‫علبة لانشون مستورد )صن شاين ( 340 جم‬</t>
  </si>
  <si>
    <t xml:space="preserve"> ‫علبة بولوبيف )340 جم(مستورد )كورندبيف(‬</t>
  </si>
  <si>
    <t xml:space="preserve"> ‫ممبار جاموسي متوسط السن‬</t>
  </si>
  <si>
    <t xml:space="preserve"> ‫كارع بقرى وجاموسى )امامى(‬</t>
  </si>
  <si>
    <t xml:space="preserve"> ‫ديوك رومي بلدى‬</t>
  </si>
  <si>
    <t xml:space="preserve"> ‫دجاج بلدى‬</t>
  </si>
  <si>
    <t xml:space="preserve"> ‫دجاج أبيض مزارع‬</t>
  </si>
  <si>
    <t xml:space="preserve"> ‫بط بلدى‬</t>
  </si>
  <si>
    <t xml:space="preserve"> ‫أوز بلدى‬</t>
  </si>
  <si>
    <t xml:space="preserve">‫ارانب بلدى‬ </t>
  </si>
  <si>
    <t xml:space="preserve">‫حمام متوسط الحجم بلدى‬ </t>
  </si>
  <si>
    <t xml:space="preserve">‫بيض ابيض مزارع متوسط الحجم‬ </t>
  </si>
  <si>
    <t xml:space="preserve">‫بيض بلدى‬ </t>
  </si>
  <si>
    <t xml:space="preserve">‫بيض احمر مزارع متوسط الحجم‬ </t>
  </si>
  <si>
    <t xml:space="preserve"> </t>
  </si>
  <si>
    <t xml:space="preserve">‫دجاج مقطع )ناجتس(‬ </t>
  </si>
  <si>
    <t xml:space="preserve">‫اوراك دجاج طازجة‬ </t>
  </si>
  <si>
    <t xml:space="preserve">‫صدور دجاج مقطع )بانية(‬ </t>
  </si>
  <si>
    <t xml:space="preserve">‫كبد وقوانص طازجة‬ </t>
  </si>
  <si>
    <t xml:space="preserve">‫سمك بياض متوسط )2 - 4(‬ </t>
  </si>
  <si>
    <t xml:space="preserve">‫سمك بلطي متوسط )4-6(‬ </t>
  </si>
  <si>
    <t xml:space="preserve">‫سمك قراميط متوسط )2-4(‬ </t>
  </si>
  <si>
    <t xml:space="preserve">‫سمك بوري متوسط )4-6(‬ </t>
  </si>
  <si>
    <t xml:space="preserve">‫سمك مكرونة متوسط )12-16(‬ </t>
  </si>
  <si>
    <t xml:space="preserve"> ‫سمك قشر بياض متوسط‬</t>
  </si>
  <si>
    <t xml:space="preserve"> ‫كابوريا متوسط‬</t>
  </si>
  <si>
    <t xml:space="preserve"> ‫جمبري سويسي قزازيي متوسط الحجم‬</t>
  </si>
  <si>
    <t xml:space="preserve"> ‫سبيط بلدى متوسط‬</t>
  </si>
  <si>
    <t xml:space="preserve"> ‫سمك ماكريل مجمد‬</t>
  </si>
  <si>
    <t xml:space="preserve"> ‫سمك مكرونة مجمد‬</t>
  </si>
  <si>
    <t xml:space="preserve"> ‫جمبري مقشر مجمد معبأ )كيس بلاستيك(‬</t>
  </si>
  <si>
    <t xml:space="preserve"> ‫فسيخ بلدى‬</t>
  </si>
  <si>
    <t xml:space="preserve"> ‫سردين‬</t>
  </si>
  <si>
    <t xml:space="preserve"> ‫ملوحة‬</t>
  </si>
  <si>
    <t xml:space="preserve"> ‫رنـجه محلية سائبة‬</t>
  </si>
  <si>
    <t xml:space="preserve"> ‫لبن حليب سائب طازج‬</t>
  </si>
  <si>
    <t>‫1/2كجم‬</t>
  </si>
  <si>
    <t xml:space="preserve"> ‫كيس لبن مبسترمعبأ بخيره‬</t>
  </si>
  <si>
    <t xml:space="preserve"> ‫لبن حليب كامل الدسم )علبة كرتون ( جهينة‬</t>
  </si>
  <si>
    <t xml:space="preserve"> ‫علبة لبن جاف )علبة كرتون ( نيدو‬</t>
  </si>
  <si>
    <t xml:space="preserve"> ‫علبة لبن جاف ) علبة كرتون ( نيدو‬</t>
  </si>
  <si>
    <t xml:space="preserve"> ‫علبة لبن من 6-12 شهر )علبة صفيح ( أكتاميل‬</t>
  </si>
  <si>
    <t xml:space="preserve"> ‫علبة لبن مدعم بيبى لاك رقم ) 1 (‬</t>
  </si>
  <si>
    <t xml:space="preserve"> ‫لبن رايب )علبة كرتون ( جهينة‬</t>
  </si>
  <si>
    <t xml:space="preserve"> ‫علبة سيريلاك للاطفال قمح‬</t>
  </si>
  <si>
    <t xml:space="preserve"> ‫جبن كامل الدسم طازج دومتى‬</t>
  </si>
  <si>
    <t xml:space="preserve"> ‫جبن كامل الدسم مختزن براميلى سائب‬</t>
  </si>
  <si>
    <t xml:space="preserve"> ‫جبن رومى قديم‬</t>
  </si>
  <si>
    <t xml:space="preserve"> ‫جبن رومى جديد‬</t>
  </si>
  <si>
    <t xml:space="preserve"> ‫جبنة قريش سائب سوق مفتوح‬</t>
  </si>
  <si>
    <t xml:space="preserve"> ‫جبن قديم قطع سائبة سوق مفتوح‬</t>
  </si>
  <si>
    <t xml:space="preserve"> ‫جبنة فيتا )علبة كرتون ( دومتي‬</t>
  </si>
  <si>
    <t xml:space="preserve"> ‫جبن فلمنك مستورد فريكو‬</t>
  </si>
  <si>
    <t xml:space="preserve"> ‫جبن ركفورد مثلث فرنساوى‬</t>
  </si>
  <si>
    <t xml:space="preserve"> ‫علبة جبنة كيرى 8 قطع مربعات‬</t>
  </si>
  <si>
    <t xml:space="preserve"> ‫علبة جبنة لافاش كيرى 8 قطع مثلثات‬</t>
  </si>
  <si>
    <t xml:space="preserve"> ‫قشدة سائبة‬</t>
  </si>
  <si>
    <t xml:space="preserve"> ‫علبة لبن بالفواكه جهينة‬</t>
  </si>
  <si>
    <t xml:space="preserve"> ‫مسلي بقرى معبأ ) برطمان زجاج ( أسكندرية‬</t>
  </si>
  <si>
    <t xml:space="preserve"> ‫مسلي جاموسى ) برطمان زجاج ( أسكندرية‬</t>
  </si>
  <si>
    <t>‫700 جم‬</t>
  </si>
  <si>
    <t xml:space="preserve"> ‫سمن بقرى طبيعى مستورد )علبة صفيح ( فيرن‬</t>
  </si>
  <si>
    <t xml:space="preserve"> ‫الزبد البلدي جاموسى سائبة‬</t>
  </si>
  <si>
    <t xml:space="preserve"> ‫الزبد البلدي بقرى سائبة‬</t>
  </si>
  <si>
    <t xml:space="preserve"> ‫زبدة بقرى مستورد نيوزلاندى‬</t>
  </si>
  <si>
    <t xml:space="preserve"> ‫علبة لبن زبادى جهينة‬</t>
  </si>
  <si>
    <t xml:space="preserve"> ‫لبن زبادى بالفواكه نستلة‬</t>
  </si>
  <si>
    <t>‫7.1 كجم‬</t>
  </si>
  <si>
    <t xml:space="preserve"> ‫مسلى صناعي روابى علبة صفيح‬</t>
  </si>
  <si>
    <t xml:space="preserve"> ‫مسلى صناعي جنه علبة صفيح‬</t>
  </si>
  <si>
    <t xml:space="preserve"> ‫عسل نحل معبأ امتنان برطمان زجاج‬</t>
  </si>
  <si>
    <t xml:space="preserve"> ‫عسل اسود سائب‬</t>
  </si>
  <si>
    <t xml:space="preserve"> ‫طحينة سائبة‬</t>
  </si>
  <si>
    <t xml:space="preserve"> ‫علبة طحينة الرشيدى برطمان الأصلي‬</t>
  </si>
  <si>
    <t xml:space="preserve"> ‫زيتون اخضر مخلل بلدي سادة‬</t>
  </si>
  <si>
    <t xml:space="preserve"> ‫زيتون اسود مخلل بلدي سائب سادة‬</t>
  </si>
  <si>
    <t xml:space="preserve"> ‫حلاوه طحينيه سائبة‬</t>
  </si>
  <si>
    <t>‫375 جم‬</t>
  </si>
  <si>
    <t xml:space="preserve"> ‫علبة حلاوه طحينيه ساده )حلواني إخوان(‬</t>
  </si>
  <si>
    <t xml:space="preserve"> ‫مكرونة أقلام‬</t>
  </si>
  <si>
    <t xml:space="preserve"> ‫مكرونه عاديه معبأة الملكة‬</t>
  </si>
  <si>
    <t xml:space="preserve"> ‫كيس مكرونة أقلام روجينا معباه‬</t>
  </si>
  <si>
    <t xml:space="preserve"> ‫كيس مكرونة مستوردة ايطاليانو‬</t>
  </si>
  <si>
    <t xml:space="preserve"> ‫كيس مكرونة مستوردة لازانيا‬</t>
  </si>
  <si>
    <t xml:space="preserve"> ‫ملح ناعم باكو‬</t>
  </si>
  <si>
    <t xml:space="preserve"> ‫كيس شيبسى صغير‬</t>
  </si>
  <si>
    <t>‫)73 - 83 جم(‬</t>
  </si>
  <si>
    <t xml:space="preserve"> ‫كيس شيبسى عائلى كبير‬</t>
  </si>
  <si>
    <t xml:space="preserve"> ‫كيس بطاطس فارم فريتس درجة اولى‬</t>
  </si>
  <si>
    <t xml:space="preserve"> ‫كيس ملوخية مجمدة مونتانا‬</t>
  </si>
  <si>
    <t xml:space="preserve"> ‫كيس باميه مجمده مونتانا‬</t>
  </si>
  <si>
    <t xml:space="preserve"> ‫كيس بسلة مجمدة مونتانا‬</t>
  </si>
  <si>
    <t xml:space="preserve"> ‫كيس خضار مشكل مجمد مونتانا‬</t>
  </si>
  <si>
    <t xml:space="preserve"> ‫علبة سردين بالزيت مستورد سردينو‬</t>
  </si>
  <si>
    <t>‫185 جم‬</t>
  </si>
  <si>
    <t xml:space="preserve"> ‫علبة تونة قطع صن شاين درجة اولى سهلة الفتح‬</t>
  </si>
  <si>
    <t xml:space="preserve"> ‫باكو شاى ليبتون خرز‬</t>
  </si>
  <si>
    <t xml:space="preserve"> ‫باكو شاى العروسة ناعم‬</t>
  </si>
  <si>
    <t xml:space="preserve"> ‫شاى ليبتون عبوة كرتون )25 فتلة(‬</t>
  </si>
  <si>
    <t xml:space="preserve"> ‫باكو شاى أخضرالعروسة عبوة كرتون )25فتلة(‬</t>
  </si>
  <si>
    <t xml:space="preserve"> ‫مربة تين فيتراك‬</t>
  </si>
  <si>
    <t xml:space="preserve"> ‫مربة مشمش فرج ﷲ‬</t>
  </si>
  <si>
    <t xml:space="preserve"> ‫فلفل اسود حصى‬</t>
  </si>
  <si>
    <t xml:space="preserve"> ‫كمون بلدى صحيح غربلة كاملة‬</t>
  </si>
  <si>
    <t xml:space="preserve"> ‫كركدية اسوانى‬</t>
  </si>
  <si>
    <t xml:space="preserve"> ‫زنجبيل مستورد )بودر(‬</t>
  </si>
  <si>
    <t xml:space="preserve"> ‫ينسون بلدى غربلة كاملة‬</t>
  </si>
  <si>
    <t>‫1/4 لتر‬</t>
  </si>
  <si>
    <t xml:space="preserve"> ‫زيت الزيتون محلى ممتاز )وادي قود( بكر ممتاز‬‏</t>
  </si>
  <si>
    <t xml:space="preserve"> ‫زيت عباد الشمس كريستال‬</t>
  </si>
  <si>
    <t xml:space="preserve"> ‫زيت ذرة كريستال‬</t>
  </si>
  <si>
    <t xml:space="preserve"> ‫زيت مخلوط ) الحلوة-هنادي (‬</t>
  </si>
  <si>
    <t xml:space="preserve"> ‫بندق مقشر‬</t>
  </si>
  <si>
    <t xml:space="preserve"> ‫عين جمل بقشره‬</t>
  </si>
  <si>
    <t xml:space="preserve"> ‫لب ابيض مملح‬</t>
  </si>
  <si>
    <t xml:space="preserve"> ‫لب سوبر‬</t>
  </si>
  <si>
    <t xml:space="preserve"> ‫فول سوداني محمص بقشره‬</t>
  </si>
  <si>
    <t xml:space="preserve"> ‫فول سوداني محمص مقشر‬</t>
  </si>
  <si>
    <t xml:space="preserve"> ‫بلح جاف سكوتى‬</t>
  </si>
  <si>
    <t xml:space="preserve"> ‫زبيب إيرانى سائب‬</t>
  </si>
  <si>
    <t xml:space="preserve"> ‫مشمشيه سائبة‬</t>
  </si>
  <si>
    <t xml:space="preserve"> ‫قراصيا إيرانى سائبة‬</t>
  </si>
  <si>
    <t xml:space="preserve"> ‫لفة تين مجفف إيرانى‬</t>
  </si>
  <si>
    <t xml:space="preserve"> ‫لفة قمر الدين سورى‬</t>
  </si>
  <si>
    <t xml:space="preserve"> ‫سمسمية‬</t>
  </si>
  <si>
    <t xml:space="preserve"> ‫ملبن بعين الجمل‬</t>
  </si>
  <si>
    <t xml:space="preserve"> ‫شيكولاتة سادة كوفرتينا‬</t>
  </si>
  <si>
    <t xml:space="preserve"> ‫شيكولاتة كادبري‬</t>
  </si>
  <si>
    <t xml:space="preserve"> ‫بنبون محشي سيما‬</t>
  </si>
  <si>
    <t xml:space="preserve"> ‫بنبون ملوكى ساده‬</t>
  </si>
  <si>
    <t xml:space="preserve"> ‫باكو لبان تشكلس فواكة 10 حبات‬</t>
  </si>
  <si>
    <t xml:space="preserve"> ‫كيس ويندوز‬</t>
  </si>
  <si>
    <t xml:space="preserve"> ‫بسكويت بالشىكولاتة)بوريو(‬</t>
  </si>
  <si>
    <t xml:space="preserve"> ‫باكو بسكويت ) ماري (‬</t>
  </si>
  <si>
    <t>‫330 مل‬</t>
  </si>
  <si>
    <t xml:space="preserve"> ‫سفن اب ) كانز(‬</t>
  </si>
  <si>
    <t xml:space="preserve"> ‫بيبسى بلاستيك‬</t>
  </si>
  <si>
    <t>‫5.1 لتر‬</t>
  </si>
  <si>
    <t xml:space="preserve"> ‫زجاجة مياه معدنية ) بركة (‬</t>
  </si>
  <si>
    <t xml:space="preserve"> ‫بيرة الأهرام كانز‬</t>
  </si>
  <si>
    <t>‫830 جم‬</t>
  </si>
  <si>
    <t xml:space="preserve"> ‫علبة كمبوت خوخ شرائح مستورد )دوني(‬</t>
  </si>
  <si>
    <t xml:space="preserve"> ‫عصير تفاح ) علبة كرتون ( جهينة‬</t>
  </si>
  <si>
    <t xml:space="preserve"> ‫عصير مانجو ) علبة كرتون ( جهينة‬</t>
  </si>
  <si>
    <t xml:space="preserve"> ‫برطمان برتقال تانج محلي‬</t>
  </si>
  <si>
    <t xml:space="preserve"> ‫ايس كريم دولسيكا كونو‬</t>
  </si>
  <si>
    <t>‫850 ملى‬</t>
  </si>
  <si>
    <t xml:space="preserve"> ‫علبة ايس كريم دولسيكا‬</t>
  </si>
  <si>
    <t xml:space="preserve">‫باكو جيلى كوكس‬ </t>
  </si>
  <si>
    <t xml:space="preserve">‫زجاجة شربات مانجو طبيعي فرج ﷲ‬ </t>
  </si>
  <si>
    <t xml:space="preserve">‫صلصة طماطم فاين فودز‬ </t>
  </si>
  <si>
    <t xml:space="preserve">‫زجاجة كاتشب هاينز‬ </t>
  </si>
  <si>
    <t>‫كليوباترة عادي‬ ‫)20 سيجارة(‬</t>
  </si>
  <si>
    <t>‫كليوباترا سوبر‬ ‫)20 سيجارة(‬</t>
  </si>
  <si>
    <t>‫مارلبورو ابيض‬ ‫)20 سيجارة(‬</t>
  </si>
  <si>
    <t>‫ابيض‬ LM ( سيجارة 20)</t>
  </si>
  <si>
    <t xml:space="preserve">‫باكو دخان معسل ) نخلة ( )100جم(‬ </t>
  </si>
  <si>
    <t>‫باكو دخان معسل ) قص (‬ ‫)65جم(‬</t>
  </si>
  <si>
    <t xml:space="preserve">‫كيس بقسمات ناعم )ريتش باك(‬ </t>
  </si>
  <si>
    <t xml:space="preserve">‫رغيف فينو متوسط الحجم بالسمسم‬ </t>
  </si>
  <si>
    <t xml:space="preserve">‫رغيف فينو متوسط الحجم بدون سمسم‬ </t>
  </si>
  <si>
    <t xml:space="preserve">‫كيس شرائح التوست الابيض)معبا(‬ </t>
  </si>
  <si>
    <t xml:space="preserve">‫بقسماط عصا بالسمسم‬ </t>
  </si>
  <si>
    <t xml:space="preserve"> ‫فايش بالكركم‬</t>
  </si>
  <si>
    <t xml:space="preserve"> ‫كعب الغزال‬</t>
  </si>
  <si>
    <t xml:space="preserve"> ‫بيتى فور مربى‬</t>
  </si>
  <si>
    <t xml:space="preserve"> ‫كعك سادة بالسمن البلدي‬</t>
  </si>
  <si>
    <t xml:space="preserve"> ‫قطعة كرواسو من الحلوانى‬‏</t>
  </si>
  <si>
    <t xml:space="preserve"> ‫لفة جلاش الزهار‬</t>
  </si>
  <si>
    <t xml:space="preserve"> ‫بيتزا جاهزة حجم صغير بالجبنة‬</t>
  </si>
  <si>
    <t xml:space="preserve"> ‫بيتزا متوسطة الحجم فرج ﷲ‬</t>
  </si>
  <si>
    <t xml:space="preserve"> ‫سمبوسك )معبأ(‬</t>
  </si>
  <si>
    <t xml:space="preserve"> ‫قطعة جاتوه حجم متوسط )فاخر(‬</t>
  </si>
  <si>
    <t xml:space="preserve"> ‫فطيرة شرقي حلو بالسكر )جحم متوسط (‬</t>
  </si>
  <si>
    <t xml:space="preserve"> ‫رغيف بلدي محسن‬</t>
  </si>
  <si>
    <t xml:space="preserve"> ‫خبز سن‬</t>
  </si>
  <si>
    <t xml:space="preserve"> ‫رغيف شامى كبير‬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</si>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</sst>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89F6AE-B2D4-4D01-A2E9-81F14E4A15B0}" autoFormatId="16" applyNumberFormats="0" applyBorderFormats="0" applyFontFormats="0" applyPatternFormats="0" applyAlignmentFormats="0" applyWidthHeightFormats="0">
  <queryTableRefresh nextId="11">
    <queryTableFields count="10">
      <queryTableField id="1" name="Product" tableColumnId="1"/>
      <queryTableField id="2" name="Unit" tableColumnId="2"/>
      <queryTableField id="3" name="Change_%" tableColumnId="3"/>
      <queryTableField id="4" name="‫Previous_Year" tableColumnId="4"/>
      <queryTableField id="5" name="Current_Year" tableColumnId="5"/>
      <queryTableField id="6" name="Q4" tableColumnId="6"/>
      <queryTableField id="7" name="Q3" tableColumnId="7"/>
      <queryTableField id="8" name="‫Q2" tableColumnId="8"/>
      <queryTableField id="9" name="Q1" tableColumnId="9"/>
      <queryTableField id="10" name="Category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7" xr16:uid="{94E9D642-6031-47A4-A752-EA979BA4FC9C}" autoFormatId="16" applyNumberFormats="0" applyBorderFormats="0" applyFontFormats="0" applyPatternFormats="0" applyAlignmentFormats="0" applyWidthHeightFormats="0">
  <queryTableRefresh nextId="23" unboundColumnsRight="4">
    <queryTableFields count="22">
      <queryTableField id="1" name="‫نسبة تغیر‬‏_x000a_‫عام‬‏_x000a_‫عن عام‬‏" tableColumnId="1"/>
      <queryTableField id="2" name="‫السنة‬‏_x000a_‫السابقة‬‏" tableColumnId="2"/>
      <queryTableField id="3" name="‫السنة‬‏_x000a_‫الحالیة‬‏" tableColumnId="3"/>
      <queryTableField id="4" name="‫دیسمبر‬‏" tableColumnId="4"/>
      <queryTableField id="5" name="‫نوفمبر‬‏" tableColumnId="5"/>
      <queryTableField id="6" name="‫اكتوبر‬‏" tableColumnId="6"/>
      <queryTableField id="7" name="‫سبتمبر‬‏" tableColumnId="7"/>
      <queryTableField id="8" name="‫اغسطس‬‏" tableColumnId="8"/>
      <queryTableField id="9" name="‫یولیو‬‏" tableColumnId="9"/>
      <queryTableField id="10" name="‫یونیو‬‏" tableColumnId="10"/>
      <queryTableField id="11" name="‫مایو‬‏" tableColumnId="11"/>
      <queryTableField id="12" name="‫ابریل‬‏" tableColumnId="12"/>
      <queryTableField id="13" name="‫مارس‬‏" tableColumnId="13"/>
      <queryTableField id="14" name="‫فبرایر‬‏" tableColumnId="14"/>
      <queryTableField id="15" name="‫ینایر‬‏" tableColumnId="15"/>
      <queryTableField id="16" name="‫الوحدة‬" tableColumnId="16"/>
      <queryTableField id="17" name="Merged" tableColumnId="17"/>
      <queryTableField id="18" name="Category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6" xr16:uid="{321E871A-4490-4EA6-A9B2-BFC6120F8D79}" autoFormatId="16" applyNumberFormats="0" applyBorderFormats="0" applyFontFormats="0" applyPatternFormats="0" applyAlignmentFormats="0" applyWidthHeightFormats="0">
  <queryTableRefresh nextId="23" unboundColumnsRight="4">
    <queryTableFields count="22">
      <queryTableField id="1" name="‫نسبة تغیر‬‏_x000a_‫عام 2025‬‏_x000a_‫عن عام‬‏" tableColumnId="1"/>
      <queryTableField id="2" name="‫السنة السابقة‬‏" tableColumnId="2"/>
      <queryTableField id="3" name="‫السنة الحالیة‬‏" tableColumnId="3"/>
      <queryTableField id="4" name="‫دیسمبر‬‏" tableColumnId="4"/>
      <queryTableField id="5" name="‫نوفمبر‬‏" tableColumnId="5"/>
      <queryTableField id="6" name="‫اكتوبر‬‏" tableColumnId="6"/>
      <queryTableField id="7" name="‫سبتمبر‬‏" tableColumnId="7"/>
      <queryTableField id="8" name="‫اغسطس‬‏" tableColumnId="8"/>
      <queryTableField id="9" name="‫یولیو‬‏" tableColumnId="9"/>
      <queryTableField id="10" name="‫یونیو‬‏" tableColumnId="10"/>
      <queryTableField id="11" name="‫مایو‬‏" tableColumnId="11"/>
      <queryTableField id="12" name="‫ابریل‬‏" tableColumnId="12"/>
      <queryTableField id="13" name="‫مارس‬‏" tableColumnId="13"/>
      <queryTableField id="14" name="‫فبرایر‬‏" tableColumnId="14"/>
      <queryTableField id="15" name="‫ینایر‬‏" tableColumnId="15"/>
      <queryTableField id="16" name="‫الوحدة‬‏" tableColumnId="16"/>
      <queryTableField id="17" name="Merged" tableColumnId="17"/>
      <queryTableField id="18" name="Category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A3799E9-CDEC-41AF-AFBB-22A9343F4AC4}" autoFormatId="16" applyNumberFormats="0" applyBorderFormats="0" applyFontFormats="0" applyPatternFormats="0" applyAlignmentFormats="0" applyWidthHeightFormats="0">
  <queryTableRefresh nextId="23" unboundColumnsRight="4">
    <queryTableFields count="22">
      <queryTableField id="1" name="‫نسبة تغیر‬‏_x000a_‫عام 2025‬‏_x000a_‫عن عام‬‏" tableColumnId="1"/>
      <queryTableField id="2" name="‫السنة السابقة‬‏" tableColumnId="2"/>
      <queryTableField id="3" name="‫السنة الحالیة‬‏" tableColumnId="3"/>
      <queryTableField id="4" name="‫دیسمبر‬‏" tableColumnId="4"/>
      <queryTableField id="5" name="‫نوفمبر‬‏" tableColumnId="5"/>
      <queryTableField id="6" name="‫اكتوبر‬‏" tableColumnId="6"/>
      <queryTableField id="7" name="‫سبتمبر‬‏" tableColumnId="7"/>
      <queryTableField id="8" name="‫اغسطس‬‏" tableColumnId="8"/>
      <queryTableField id="9" name="‫یولیو‬‏" tableColumnId="9"/>
      <queryTableField id="10" name="‫یونیو‬‏" tableColumnId="10"/>
      <queryTableField id="11" name="‫مایو‬‏" tableColumnId="11"/>
      <queryTableField id="12" name="‫ابریل‬‏" tableColumnId="12"/>
      <queryTableField id="13" name="‫مارس‬‏" tableColumnId="13"/>
      <queryTableField id="14" name="‫فبرایر‬‏" tableColumnId="14"/>
      <queryTableField id="15" name="‫ینایر‬‏" tableColumnId="15"/>
      <queryTableField id="16" name="‫الوحدة‬" tableColumnId="16"/>
      <queryTableField id="17" name="Merged" tableColumnId="17"/>
      <queryTableField id="18" name="Category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34B119-36B1-4CAF-AC24-2B3FB274707E}" name="General" displayName="General" ref="A1:J110" tableType="queryTable" totalsRowShown="0">
  <autoFilter ref="A1:J110" xr:uid="{BE34B119-36B1-4CAF-AC24-2B3FB274707E}"/>
  <tableColumns count="10">
    <tableColumn id="1" xr3:uid="{FD463AE6-B373-49EF-8EFE-D40F882DA331}" uniqueName="1" name="Product" queryTableFieldId="1" dataDxfId="75"/>
    <tableColumn id="2" xr3:uid="{E3205FBD-FE05-4EAA-B93C-07F42886B99C}" uniqueName="2" name="Unit" queryTableFieldId="2" dataDxfId="74"/>
    <tableColumn id="3" xr3:uid="{E1C6CC00-AE4B-4453-85EE-6135B7CEE4E6}" uniqueName="3" name="Change_%" queryTableFieldId="3" dataDxfId="53"/>
    <tableColumn id="4" xr3:uid="{B49853C8-8D6E-4A30-9508-B734CC0EC5F5}" uniqueName="4" name="‫Previous_Year" queryTableFieldId="4" dataDxfId="52"/>
    <tableColumn id="5" xr3:uid="{63DA320B-F3BD-4A90-9C04-0B5E4418032C}" uniqueName="5" name="Current_Year" queryTableFieldId="5" dataDxfId="51"/>
    <tableColumn id="6" xr3:uid="{465E865C-B4C8-4CEE-A5D8-272B86BDE242}" uniqueName="6" name="Q4" queryTableFieldId="6" dataDxfId="50"/>
    <tableColumn id="7" xr3:uid="{25AFB14F-0399-4DF0-BA92-EB69C5FAFC69}" uniqueName="7" name="Q3" queryTableFieldId="7" dataDxfId="49"/>
    <tableColumn id="8" xr3:uid="{BBFDC747-797D-4791-9F51-217B5429570C}" uniqueName="8" name="‫Q2" queryTableFieldId="8" dataDxfId="48"/>
    <tableColumn id="9" xr3:uid="{3669E506-C754-41EC-BDBE-60213D618A72}" uniqueName="9" name="Q1" queryTableFieldId="9" dataDxfId="47"/>
    <tableColumn id="10" xr3:uid="{AA6FE190-8883-47C2-8333-7F7889D6B63E}" uniqueName="10" name="Category" queryTableFieldId="10" dataDxfId="4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DA56E9-96E4-4B80-852C-B80D7CCD00F7}" name="Wholesale" displayName="Wholesale" ref="A1:V147" tableType="queryTable" totalsRowShown="0">
  <autoFilter ref="A1:V147" xr:uid="{BADA56E9-96E4-4B80-852C-B80D7CCD00F7}"/>
  <tableColumns count="22">
    <tableColumn id="1" xr3:uid="{EBB028A0-54F9-4DF4-87D4-19FC1B420609}" uniqueName="1" name="‫نسبة تغیر‬‏_x000a_‫عام‬‏_x000a_‫عن عام‬‏" queryTableFieldId="1" dataDxfId="45"/>
    <tableColumn id="2" xr3:uid="{06D3C00D-EFC3-4B08-B6EE-0A80242DD7A3}" uniqueName="2" name="‫السنة‬‏_x000a_‫السابقة‬‏" queryTableFieldId="2" dataDxfId="44"/>
    <tableColumn id="3" xr3:uid="{51ACF581-C965-4352-ADDE-D96562957632}" uniqueName="3" name="‫السنة‬‏_x000a_‫الحالیة‬‏" queryTableFieldId="3" dataDxfId="43"/>
    <tableColumn id="4" xr3:uid="{3A59ADED-E1F1-4C7E-B44D-1965E9CCA09B}" uniqueName="4" name="‫دیسمبر‬‏" queryTableFieldId="4" dataDxfId="42"/>
    <tableColumn id="5" xr3:uid="{44FC6484-9F3B-4057-AD8D-A93C14C6B346}" uniqueName="5" name="‫نوفمبر‬‏" queryTableFieldId="5" dataDxfId="41"/>
    <tableColumn id="6" xr3:uid="{31C74856-1F00-4B69-BDE9-9F1DF73A704D}" uniqueName="6" name="‫اكتوبر‬‏" queryTableFieldId="6" dataDxfId="40"/>
    <tableColumn id="7" xr3:uid="{829A060B-D76F-4A57-AD30-8E1D131B296B}" uniqueName="7" name="‫سبتمبر‬‏" queryTableFieldId="7" dataDxfId="39"/>
    <tableColumn id="8" xr3:uid="{138F3B24-7768-437C-BDAB-64F54F128AD3}" uniqueName="8" name="‫اغسطس‬‏" queryTableFieldId="8" dataDxfId="38"/>
    <tableColumn id="9" xr3:uid="{EFE31DE7-DD25-4205-82EB-6B2A1AACBB5C}" uniqueName="9" name="‫یولیو‬‏" queryTableFieldId="9" dataDxfId="37"/>
    <tableColumn id="10" xr3:uid="{0722D1A9-74C4-4B2A-8C53-2A780F459C0E}" uniqueName="10" name="‫یونیو‬‏" queryTableFieldId="10" dataDxfId="36"/>
    <tableColumn id="11" xr3:uid="{006B996C-D174-473A-8566-ED82A74D00A6}" uniqueName="11" name="‫مایو‬‏" queryTableFieldId="11" dataDxfId="35"/>
    <tableColumn id="12" xr3:uid="{8B534EF9-59AE-4484-8B55-60C934BF6A45}" uniqueName="12" name="‫ابریل‬‏" queryTableFieldId="12" dataDxfId="34"/>
    <tableColumn id="13" xr3:uid="{277AF8BB-9553-40E9-BF7F-5045E2F2A321}" uniqueName="13" name="‫مارس‬‏" queryTableFieldId="13" dataDxfId="33"/>
    <tableColumn id="14" xr3:uid="{116E5587-A3F8-41C4-A02B-C7FDBC3442AE}" uniqueName="14" name="‫فبرایر‬‏" queryTableFieldId="14" dataDxfId="32"/>
    <tableColumn id="15" xr3:uid="{372D7F8F-4CDE-4A54-BE72-5297731B7725}" uniqueName="15" name="‫ینایر‬‏" queryTableFieldId="15" dataDxfId="31"/>
    <tableColumn id="16" xr3:uid="{599C6602-8A7F-4C14-B3DD-F558DF70DA6A}" uniqueName="16" name="‫الوحدة‬" queryTableFieldId="16" dataDxfId="73"/>
    <tableColumn id="17" xr3:uid="{AC3EEB75-3E89-4EE1-8ADA-16FE9451CD4C}" uniqueName="17" name="Merged" queryTableFieldId="17" dataDxfId="72"/>
    <tableColumn id="18" xr3:uid="{907B0BF8-DB2A-4E2C-BEA6-7F3ABD951AB0}" uniqueName="18" name="Category" queryTableFieldId="18" dataDxfId="30"/>
    <tableColumn id="19" xr3:uid="{5BF4657E-E9BE-4FBC-86FE-E2C88A7CB537}" uniqueName="19" name="Q4" queryTableFieldId="19" dataDxfId="29">
      <calculatedColumnFormula>IFERROR(AVERAGE(Wholesale[[#This Row],[‫دیسمبر‬‏]]:Wholesale[[#This Row],[‫اكتوبر‬‏]]),"")</calculatedColumnFormula>
    </tableColumn>
    <tableColumn id="20" xr3:uid="{EEA2BE31-3D0A-4936-83B9-2F0DF219189E}" uniqueName="20" name="Q3" queryTableFieldId="20" dataDxfId="28">
      <calculatedColumnFormula>IFERROR(AVERAGE(Wholesale[[#This Row],[‫سبتمبر‬‏]]:Wholesale[[#This Row],[‫یولیو‬‏]]),"")</calculatedColumnFormula>
    </tableColumn>
    <tableColumn id="21" xr3:uid="{DF65FF9F-8008-4A73-B8BB-E836B9E972EE}" uniqueName="21" name="Q2" queryTableFieldId="21" dataDxfId="27">
      <calculatedColumnFormula>IFERROR(AVERAGE(Wholesale[[#This Row],[‫یونیو‬‏]]:Wholesale[[#This Row],[‫ابریل‬‏]]),"")</calculatedColumnFormula>
    </tableColumn>
    <tableColumn id="22" xr3:uid="{DC101DFC-5622-4A4D-9EF0-B9770B9F3592}" uniqueName="22" name="Q1" queryTableFieldId="22" dataDxfId="26">
      <calculatedColumnFormula>IFERROR(AVERAGE(Wholesale[[#This Row],[‫مارس‬‏]]:Wholesale[[#This Row],[‫ینایر‬‏]]),"")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0788D7-BF60-4D66-A29C-6BA99E6ECFF1}" name="Urban" displayName="Urban" ref="A1:V251" tableType="queryTable" totalsRowShown="0">
  <autoFilter ref="A1:V251" xr:uid="{A00788D7-BF60-4D66-A29C-6BA99E6ECFF1}"/>
  <tableColumns count="22">
    <tableColumn id="1" xr3:uid="{15FF1646-B99F-4074-B88C-982C8E58886E}" uniqueName="1" name="‫نسبة تغیر‬‏_x000a_‫عام 2025‬‏_x000a_‫عن عام‬‏" queryTableFieldId="1" dataDxfId="69"/>
    <tableColumn id="2" xr3:uid="{F606FB5C-42A8-4195-9273-892478C0FB57}" uniqueName="2" name="‫السنة السابقة‬‏" queryTableFieldId="2" dataDxfId="68"/>
    <tableColumn id="3" xr3:uid="{33B56D50-5A0B-41DC-930A-86F7042E9680}" uniqueName="3" name="‫السنة الحالیة‬‏" queryTableFieldId="3" dataDxfId="67"/>
    <tableColumn id="4" xr3:uid="{8926A69F-7A0E-4EC2-9BA6-BBF4AAB5354C}" uniqueName="4" name="‫دیسمبر‬‏" queryTableFieldId="4" dataDxfId="66"/>
    <tableColumn id="5" xr3:uid="{1E7AE382-4E0C-4185-AEBE-EEDFDB33E505}" uniqueName="5" name="‫نوفمبر‬‏" queryTableFieldId="5" dataDxfId="65"/>
    <tableColumn id="6" xr3:uid="{3DC547F3-2506-4A9B-868D-B46C5183F8F2}" uniqueName="6" name="‫اكتوبر‬‏" queryTableFieldId="6" dataDxfId="64"/>
    <tableColumn id="7" xr3:uid="{38D1C0E0-C946-471A-9D5D-EC0490D20CC2}" uniqueName="7" name="‫سبتمبر‬‏" queryTableFieldId="7" dataDxfId="63"/>
    <tableColumn id="8" xr3:uid="{A3697CE1-95D0-4F80-ADF1-CC28068C0E13}" uniqueName="8" name="‫اغسطس‬‏" queryTableFieldId="8" dataDxfId="62"/>
    <tableColumn id="9" xr3:uid="{DC8A6995-11CB-427B-9720-C4A41D0BC6E7}" uniqueName="9" name="‫یولیو‬‏" queryTableFieldId="9" dataDxfId="61"/>
    <tableColumn id="10" xr3:uid="{F135BC4A-41CC-4172-9EA5-8B68427F242D}" uniqueName="10" name="‫یونیو‬‏" queryTableFieldId="10" dataDxfId="60"/>
    <tableColumn id="11" xr3:uid="{447C3D43-06AE-4EF5-B9BE-6143B66DFECB}" uniqueName="11" name="‫مایو‬‏" queryTableFieldId="11" dataDxfId="59"/>
    <tableColumn id="12" xr3:uid="{24F465AE-A538-48EE-B724-6CF36A281C78}" uniqueName="12" name="‫ابریل‬‏" queryTableFieldId="12" dataDxfId="58"/>
    <tableColumn id="13" xr3:uid="{7A639344-CF29-4534-8981-6DB420EA1EA3}" uniqueName="13" name="‫مارس‬‏" queryTableFieldId="13" dataDxfId="57"/>
    <tableColumn id="14" xr3:uid="{6EB3611A-4754-40AA-9EE7-7E2A45097787}" uniqueName="14" name="‫فبرایر‬‏" queryTableFieldId="14" dataDxfId="56"/>
    <tableColumn id="15" xr3:uid="{1563D053-014D-4B7A-A1BF-982F8E4BE376}" uniqueName="15" name="‫ینایر‬‏" queryTableFieldId="15" dataDxfId="55"/>
    <tableColumn id="16" xr3:uid="{A45B6867-999E-4EC0-9F00-120259847DCA}" uniqueName="16" name="‫الوحدة‬‏" queryTableFieldId="16" dataDxfId="71"/>
    <tableColumn id="17" xr3:uid="{F9DE588A-4352-42D8-8A33-42CBFEAE6FAA}" uniqueName="17" name="Merged" queryTableFieldId="17" dataDxfId="70"/>
    <tableColumn id="18" xr3:uid="{750B0D4B-1FE6-416E-A10B-A3D76B7E0543}" uniqueName="18" name="Category" queryTableFieldId="18" dataDxfId="54"/>
    <tableColumn id="19" xr3:uid="{098A428B-126C-462D-B9F4-64DA5F9630DC}" uniqueName="19" name="Q4" queryTableFieldId="19" dataDxfId="6">
      <calculatedColumnFormula>IFERROR(AVERAGE(Urban[[#This Row],[‫دیسمبر‬‏]]:Urban[[#This Row],[‫اكتوبر‬‏]]),"")</calculatedColumnFormula>
    </tableColumn>
    <tableColumn id="20" xr3:uid="{5BD049F5-CC86-4E19-B7B5-B67237235A48}" uniqueName="20" name="Q3" queryTableFieldId="20" dataDxfId="5">
      <calculatedColumnFormula>IFERROR(AVERAGE(Urban[[#This Row],[‫سبتمبر‬‏]]:Urban[[#This Row],[‫یولیو‬‏]]),"")</calculatedColumnFormula>
    </tableColumn>
    <tableColumn id="21" xr3:uid="{670AD8F6-AC84-43F0-AE84-9ABB2165B596}" uniqueName="21" name="Q2" queryTableFieldId="21" dataDxfId="4">
      <calculatedColumnFormula>IFERROR(AVERAGE(Urban[[#This Row],[‫یونیو‬‏]]:Urban[[#This Row],[‫ابریل‬‏]]),"")</calculatedColumnFormula>
    </tableColumn>
    <tableColumn id="22" xr3:uid="{580C12B4-214A-42B3-A310-CBAC537C6FC9}" uniqueName="22" name="Q1" queryTableFieldId="22" dataDxfId="7">
      <calculatedColumnFormula>IFERROR(AVERAGE(Urban[[#This Row],[‫مارس‬‏]]:Urban[[#This Row],[‫ینایر‬‏]]),"")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5E514B-F467-4B11-9AFD-574BFC1802C6}" name="Rural" displayName="Rural" ref="A1:V257" tableType="queryTable" totalsRowShown="0">
  <autoFilter ref="A1:V257" xr:uid="{255E514B-F467-4B11-9AFD-574BFC1802C6}"/>
  <tableColumns count="22">
    <tableColumn id="1" xr3:uid="{2CF330D8-6349-4BE3-AB7E-DC1B7BFC0905}" uniqueName="1" name="‫نسبة تغیر‬‏_x000a_‫عام 2025‬‏_x000a_‫عن عام‬‏" queryTableFieldId="1" dataDxfId="25"/>
    <tableColumn id="2" xr3:uid="{4C5D7A5E-DEB8-4953-A61E-52130974902D}" uniqueName="2" name="‫السنة السابقة‬‏" queryTableFieldId="2" dataDxfId="24"/>
    <tableColumn id="3" xr3:uid="{DD745731-80FF-4C18-956E-A036A48F2073}" uniqueName="3" name="‫السنة الحالیة‬‏" queryTableFieldId="3" dataDxfId="23"/>
    <tableColumn id="4" xr3:uid="{B3CAFB19-83BA-4739-B87C-EC1F739BC37D}" uniqueName="4" name="‫دیسمبر‬‏" queryTableFieldId="4" dataDxfId="22"/>
    <tableColumn id="5" xr3:uid="{09BD7B0E-900D-411D-BC85-B3CA64FFA008}" uniqueName="5" name="‫نوفمبر‬‏" queryTableFieldId="5" dataDxfId="21"/>
    <tableColumn id="6" xr3:uid="{2C3AD9B2-EDFA-428F-ABCA-295B0B9F2E93}" uniqueName="6" name="‫اكتوبر‬‏" queryTableFieldId="6" dataDxfId="20"/>
    <tableColumn id="7" xr3:uid="{AAB1E821-941E-4091-AE3B-0C4C8BB8F752}" uniqueName="7" name="‫سبتمبر‬‏" queryTableFieldId="7" dataDxfId="19"/>
    <tableColumn id="8" xr3:uid="{DB32C7AB-789A-405A-B320-E20D4B45B57B}" uniqueName="8" name="‫اغسطس‬‏" queryTableFieldId="8" dataDxfId="18"/>
    <tableColumn id="9" xr3:uid="{5E359791-AD63-4958-87AE-30129732326F}" uniqueName="9" name="‫یولیو‬‏" queryTableFieldId="9" dataDxfId="17"/>
    <tableColumn id="10" xr3:uid="{76CF34EB-4FC3-4676-B340-1A6FF0E2822C}" uniqueName="10" name="‫یونیو‬‏" queryTableFieldId="10" dataDxfId="16"/>
    <tableColumn id="11" xr3:uid="{7642443A-2BE0-47ED-B195-ADF5FADEA57F}" uniqueName="11" name="‫مایو‬‏" queryTableFieldId="11" dataDxfId="15"/>
    <tableColumn id="12" xr3:uid="{E06115B4-4D17-4606-95A9-FB69F1EC0482}" uniqueName="12" name="‫ابریل‬‏" queryTableFieldId="12" dataDxfId="14"/>
    <tableColumn id="13" xr3:uid="{1DC704F1-80B3-4DED-86DE-CAD0FC0942A1}" uniqueName="13" name="‫مارس‬‏" queryTableFieldId="13" dataDxfId="13"/>
    <tableColumn id="14" xr3:uid="{A004EDC7-F06D-41F9-8343-7E8282C2590D}" uniqueName="14" name="‫فبرایر‬‏" queryTableFieldId="14" dataDxfId="12"/>
    <tableColumn id="15" xr3:uid="{F6E4227C-26D8-40BD-B3AF-F47DDAD51F96}" uniqueName="15" name="‫ینایر‬‏" queryTableFieldId="15" dataDxfId="11"/>
    <tableColumn id="16" xr3:uid="{51B1D4BC-211A-48C9-9EE3-7FE42304D07C}" uniqueName="16" name="‫الوحدة‬" queryTableFieldId="16" dataDxfId="10"/>
    <tableColumn id="17" xr3:uid="{769779F3-3B93-47F0-80EF-BB77BC4F4F67}" uniqueName="17" name="Merged" queryTableFieldId="17" dataDxfId="9"/>
    <tableColumn id="18" xr3:uid="{28EBF438-1C87-47E9-8FBD-EA9E26535884}" uniqueName="18" name="Category" queryTableFieldId="18" dataDxfId="8"/>
    <tableColumn id="19" xr3:uid="{0AF50666-9B6C-49E8-A296-37DA19EEE24A}" uniqueName="19" name="Q4" queryTableFieldId="19" dataDxfId="0">
      <calculatedColumnFormula>IFERROR(AVERAGE(Rural[[#This Row],[‫دیسمبر‬‏]]:Rural[[#This Row],[‫اكتوبر‬‏]]),"")</calculatedColumnFormula>
    </tableColumn>
    <tableColumn id="20" xr3:uid="{025CEFA1-DA87-4634-8152-119A7F06E028}" uniqueName="20" name="Q3" queryTableFieldId="20" dataDxfId="1">
      <calculatedColumnFormula>IFERROR(AVERAGE(Rural[[#This Row],[‫سبتمبر‬‏]]:Rural[[#This Row],[‫یولیو‬‏]]),"")</calculatedColumnFormula>
    </tableColumn>
    <tableColumn id="21" xr3:uid="{1002807C-BC37-4A1A-AF20-6615953AC37D}" uniqueName="21" name="Q2" queryTableFieldId="21" dataDxfId="2">
      <calculatedColumnFormula>IFERROR(AVERAGE(Rural[[#This Row],[‫یونیو‬‏]]:Rural[[#This Row],[‫ابریل‬‏]]),"")</calculatedColumnFormula>
    </tableColumn>
    <tableColumn id="22" xr3:uid="{B2176DA9-A2B0-419A-AB01-4BFD239EDF2E}" uniqueName="22" name="Q1" queryTableFieldId="22" dataDxfId="3">
      <calculatedColumnFormula>IFERROR(AVERAGE(Rural[[#This Row],[‫مارس‬‏]]:Rural[[#This Row],[‫ینایر‬‏]]),"")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"/>
  <sheetViews>
    <sheetView workbookViewId="0">
      <selection sqref="A1:XFD1048576"/>
    </sheetView>
  </sheetViews>
  <sheetFormatPr defaultRowHeight="14.5" x14ac:dyDescent="0.35"/>
  <cols>
    <col min="1" max="1" width="23.36328125" bestFit="1" customWidth="1"/>
    <col min="2" max="2" width="7.90625" bestFit="1" customWidth="1"/>
    <col min="3" max="3" width="11.7265625" bestFit="1" customWidth="1"/>
    <col min="4" max="4" width="12.7265625" bestFit="1" customWidth="1"/>
    <col min="5" max="5" width="14.26953125" bestFit="1" customWidth="1"/>
    <col min="6" max="9" width="8.81640625" bestFit="1" customWidth="1"/>
    <col min="10" max="10" width="10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s="1">
        <v>9.5</v>
      </c>
      <c r="D2" s="1">
        <v>2454.9499999999998</v>
      </c>
      <c r="E2" s="1">
        <v>2688.19</v>
      </c>
      <c r="F2" s="1">
        <v>2955.56</v>
      </c>
      <c r="G2" s="1">
        <v>2681.48</v>
      </c>
      <c r="H2" s="1">
        <v>2682.41</v>
      </c>
      <c r="I2" s="1">
        <v>2433.33</v>
      </c>
      <c r="J2" s="1" t="s">
        <v>12</v>
      </c>
    </row>
    <row r="3" spans="1:10" x14ac:dyDescent="0.35">
      <c r="A3" t="s">
        <v>13</v>
      </c>
      <c r="B3" t="s">
        <v>14</v>
      </c>
      <c r="C3" s="1">
        <v>2.2000000000000002</v>
      </c>
      <c r="D3" s="1">
        <v>24162.3</v>
      </c>
      <c r="E3" s="1">
        <v>24689.61</v>
      </c>
      <c r="F3" s="1">
        <v>23483.33</v>
      </c>
      <c r="G3" s="1">
        <v>23150</v>
      </c>
      <c r="H3" s="1">
        <v>25825.11</v>
      </c>
      <c r="I3" s="1">
        <v>26300</v>
      </c>
      <c r="J3" s="1" t="s">
        <v>12</v>
      </c>
    </row>
    <row r="4" spans="1:10" x14ac:dyDescent="0.35">
      <c r="A4" t="s">
        <v>15</v>
      </c>
      <c r="B4" t="s">
        <v>16</v>
      </c>
      <c r="C4" s="1">
        <v>7.7</v>
      </c>
      <c r="D4" s="1">
        <v>2294.35</v>
      </c>
      <c r="E4" s="1">
        <v>2470.14</v>
      </c>
      <c r="F4" s="1">
        <v>2575</v>
      </c>
      <c r="G4" s="1">
        <v>2555.56</v>
      </c>
      <c r="H4" s="1">
        <v>2450</v>
      </c>
      <c r="I4" s="1">
        <v>2300</v>
      </c>
      <c r="J4" s="1" t="s">
        <v>12</v>
      </c>
    </row>
    <row r="5" spans="1:10" x14ac:dyDescent="0.35">
      <c r="A5" t="s">
        <v>17</v>
      </c>
      <c r="B5" t="s">
        <v>16</v>
      </c>
      <c r="C5" s="1">
        <v>0.9</v>
      </c>
      <c r="D5" s="1">
        <v>4335.7700000000004</v>
      </c>
      <c r="E5" s="1">
        <v>4376.51</v>
      </c>
      <c r="F5" s="1">
        <v>4446.67</v>
      </c>
      <c r="G5" s="1">
        <v>4373.33</v>
      </c>
      <c r="H5" s="1">
        <v>4398</v>
      </c>
      <c r="I5" s="1">
        <v>4288.05</v>
      </c>
      <c r="J5" s="1" t="s">
        <v>12</v>
      </c>
    </row>
    <row r="6" spans="1:10" x14ac:dyDescent="0.35">
      <c r="A6" t="s">
        <v>18</v>
      </c>
      <c r="B6" t="s">
        <v>19</v>
      </c>
      <c r="C6" s="1">
        <v>6.8</v>
      </c>
      <c r="D6" s="1">
        <v>5151.8100000000004</v>
      </c>
      <c r="E6" s="1">
        <v>5499.86</v>
      </c>
      <c r="F6" s="1">
        <v>5833.61</v>
      </c>
      <c r="G6" s="1">
        <v>5651.94</v>
      </c>
      <c r="H6" s="1">
        <v>5069.4399999999996</v>
      </c>
      <c r="I6" s="1">
        <v>5444.44</v>
      </c>
      <c r="J6" s="1" t="s">
        <v>12</v>
      </c>
    </row>
    <row r="7" spans="1:10" x14ac:dyDescent="0.35">
      <c r="A7" t="s">
        <v>20</v>
      </c>
      <c r="B7" t="s">
        <v>19</v>
      </c>
      <c r="C7" s="1">
        <v>-8.9</v>
      </c>
      <c r="D7" s="1">
        <v>5740.4</v>
      </c>
      <c r="E7" s="1">
        <v>5232</v>
      </c>
      <c r="F7" s="1">
        <v>5009.58</v>
      </c>
      <c r="G7" s="1">
        <v>5316.25</v>
      </c>
      <c r="H7" s="1">
        <v>5299.67</v>
      </c>
      <c r="I7" s="1">
        <v>5302.5</v>
      </c>
      <c r="J7" s="1" t="s">
        <v>12</v>
      </c>
    </row>
    <row r="8" spans="1:10" x14ac:dyDescent="0.35">
      <c r="A8" t="s">
        <v>21</v>
      </c>
      <c r="B8" t="s">
        <v>22</v>
      </c>
      <c r="C8" s="1">
        <v>-20.5</v>
      </c>
      <c r="D8" s="1">
        <v>7995.22</v>
      </c>
      <c r="E8" s="1">
        <v>6355.28</v>
      </c>
      <c r="F8" s="1">
        <v>6295.56</v>
      </c>
      <c r="G8" s="1">
        <v>6273.33</v>
      </c>
      <c r="H8" s="1">
        <v>6317.78</v>
      </c>
      <c r="I8" s="1">
        <v>6534.44</v>
      </c>
      <c r="J8" s="1" t="s">
        <v>12</v>
      </c>
    </row>
    <row r="9" spans="1:10" x14ac:dyDescent="0.35">
      <c r="A9" t="s">
        <v>23</v>
      </c>
      <c r="B9" t="s">
        <v>22</v>
      </c>
      <c r="C9" s="1">
        <v>-9.8000000000000007</v>
      </c>
      <c r="D9" s="1">
        <v>7662.15</v>
      </c>
      <c r="E9" s="1">
        <v>6908.58</v>
      </c>
      <c r="F9" s="1">
        <v>6745.56</v>
      </c>
      <c r="G9" s="1">
        <v>6735.56</v>
      </c>
      <c r="H9" s="1">
        <v>6999.89</v>
      </c>
      <c r="I9" s="1">
        <v>7153.33</v>
      </c>
      <c r="J9" s="1" t="s">
        <v>12</v>
      </c>
    </row>
    <row r="10" spans="1:10" x14ac:dyDescent="0.35">
      <c r="A10" t="s">
        <v>24</v>
      </c>
      <c r="B10" t="s">
        <v>25</v>
      </c>
      <c r="C10" s="1">
        <v>9.4</v>
      </c>
      <c r="D10" s="1">
        <v>73.62</v>
      </c>
      <c r="E10" s="1">
        <v>75.709999999999994</v>
      </c>
      <c r="F10" s="1">
        <v>74.91</v>
      </c>
      <c r="G10" s="1">
        <v>73.010000000000005</v>
      </c>
      <c r="H10" s="1">
        <v>80.56</v>
      </c>
      <c r="I10" s="1">
        <v>74.36</v>
      </c>
      <c r="J10" s="1" t="s">
        <v>12</v>
      </c>
    </row>
    <row r="11" spans="1:10" x14ac:dyDescent="0.35">
      <c r="A11" t="s">
        <v>26</v>
      </c>
      <c r="B11" t="s">
        <v>27</v>
      </c>
      <c r="C11" s="1">
        <v>-49.9</v>
      </c>
      <c r="D11" s="1">
        <v>6579.34</v>
      </c>
      <c r="E11" s="1">
        <v>3298.27</v>
      </c>
      <c r="F11" s="1">
        <v>45</v>
      </c>
      <c r="G11" s="1">
        <v>40.06</v>
      </c>
      <c r="H11" s="1">
        <v>6499.68</v>
      </c>
      <c r="I11" s="1">
        <v>6608.34</v>
      </c>
      <c r="J11" s="1" t="s">
        <v>12</v>
      </c>
    </row>
    <row r="12" spans="1:10" x14ac:dyDescent="0.35">
      <c r="A12" t="s">
        <v>28</v>
      </c>
      <c r="B12" t="s">
        <v>25</v>
      </c>
      <c r="C12" s="1">
        <v>-28.4</v>
      </c>
      <c r="D12" s="1">
        <v>72.180000000000007</v>
      </c>
      <c r="E12" s="1">
        <v>51.65</v>
      </c>
      <c r="F12" s="1">
        <v>54.19</v>
      </c>
      <c r="G12" s="1">
        <v>52.77</v>
      </c>
      <c r="H12" s="1">
        <v>48.78</v>
      </c>
      <c r="I12" s="1">
        <v>50.87</v>
      </c>
      <c r="J12" s="1" t="s">
        <v>12</v>
      </c>
    </row>
    <row r="13" spans="1:10" x14ac:dyDescent="0.35">
      <c r="A13" t="s">
        <v>29</v>
      </c>
      <c r="B13" t="s">
        <v>11</v>
      </c>
      <c r="C13" s="1">
        <v>-506</v>
      </c>
      <c r="D13" s="1">
        <v>5424.88</v>
      </c>
      <c r="E13" s="1">
        <v>5118.8599999999997</v>
      </c>
      <c r="F13" s="1">
        <v>5150</v>
      </c>
      <c r="G13" s="1">
        <v>5149.93</v>
      </c>
      <c r="H13" s="1">
        <v>5148.55</v>
      </c>
      <c r="I13" s="1">
        <v>5026.96</v>
      </c>
      <c r="J13" s="1" t="s">
        <v>12</v>
      </c>
    </row>
    <row r="14" spans="1:10" x14ac:dyDescent="0.35">
      <c r="A14" t="s">
        <v>30</v>
      </c>
      <c r="B14" t="s">
        <v>31</v>
      </c>
      <c r="C14" s="1">
        <v>0.6</v>
      </c>
      <c r="D14" s="1">
        <v>5183.8</v>
      </c>
      <c r="E14" s="1">
        <v>5213.45</v>
      </c>
      <c r="F14" s="1">
        <v>5212.26</v>
      </c>
      <c r="G14" s="1">
        <v>5211.33</v>
      </c>
      <c r="H14" s="1">
        <v>5170.83</v>
      </c>
      <c r="I14" s="1">
        <v>5259.39</v>
      </c>
      <c r="J14" s="1" t="s">
        <v>12</v>
      </c>
    </row>
    <row r="15" spans="1:10" x14ac:dyDescent="0.35">
      <c r="A15" t="s">
        <v>32</v>
      </c>
      <c r="B15" t="s">
        <v>33</v>
      </c>
      <c r="C15" s="1">
        <v>5.8</v>
      </c>
      <c r="D15" s="1">
        <v>2365.35</v>
      </c>
      <c r="E15" s="1">
        <v>2503.3200000000002</v>
      </c>
      <c r="F15" s="1">
        <v>2628.37</v>
      </c>
      <c r="G15" s="1">
        <v>2533.5700000000002</v>
      </c>
      <c r="H15" s="1">
        <v>2439.98</v>
      </c>
      <c r="I15" s="1">
        <v>2411.35</v>
      </c>
      <c r="J15" s="1" t="s">
        <v>12</v>
      </c>
    </row>
    <row r="16" spans="1:10" x14ac:dyDescent="0.35">
      <c r="A16" t="s">
        <v>34</v>
      </c>
      <c r="B16" t="s">
        <v>14</v>
      </c>
      <c r="C16" s="1">
        <v>49.3</v>
      </c>
      <c r="D16" s="1">
        <v>5320.88</v>
      </c>
      <c r="E16" s="1">
        <v>7944.17</v>
      </c>
      <c r="F16" s="1">
        <v>8893.33</v>
      </c>
      <c r="G16" s="1">
        <v>8883.33</v>
      </c>
      <c r="H16" s="1">
        <v>8583.33</v>
      </c>
      <c r="I16" s="1">
        <v>5416.67</v>
      </c>
      <c r="J16" s="1" t="s">
        <v>12</v>
      </c>
    </row>
    <row r="17" spans="1:10" x14ac:dyDescent="0.35">
      <c r="A17" t="s">
        <v>35</v>
      </c>
      <c r="B17" t="s">
        <v>14</v>
      </c>
      <c r="C17" s="1">
        <v>9.1999999999999993</v>
      </c>
      <c r="D17" s="1">
        <v>2567.86</v>
      </c>
      <c r="E17" s="1">
        <v>2803.23</v>
      </c>
      <c r="F17" s="1">
        <v>2903.06</v>
      </c>
      <c r="G17" s="1">
        <v>2883.33</v>
      </c>
      <c r="H17" s="1">
        <v>2771.33</v>
      </c>
      <c r="I17" s="1">
        <v>2655.18</v>
      </c>
      <c r="J17" s="1" t="s">
        <v>12</v>
      </c>
    </row>
    <row r="18" spans="1:10" x14ac:dyDescent="0.35">
      <c r="A18" t="s">
        <v>36</v>
      </c>
      <c r="B18" t="s">
        <v>37</v>
      </c>
      <c r="C18" s="1">
        <v>3.6</v>
      </c>
      <c r="D18" s="1">
        <v>1399.4</v>
      </c>
      <c r="E18" s="1">
        <v>1450</v>
      </c>
      <c r="F18" s="1">
        <v>1700</v>
      </c>
      <c r="G18" s="1">
        <v>1700</v>
      </c>
      <c r="H18" s="1">
        <v>1200</v>
      </c>
      <c r="I18" s="1">
        <v>1200</v>
      </c>
      <c r="J18" s="1" t="s">
        <v>12</v>
      </c>
    </row>
    <row r="19" spans="1:10" x14ac:dyDescent="0.35">
      <c r="A19" t="s">
        <v>38</v>
      </c>
      <c r="B19" t="s">
        <v>39</v>
      </c>
      <c r="C19" s="1">
        <v>2.2000000000000002</v>
      </c>
      <c r="D19" s="1">
        <v>4535.5600000000004</v>
      </c>
      <c r="E19" s="1">
        <v>4636.1099999999997</v>
      </c>
      <c r="F19" s="1">
        <v>4966.67</v>
      </c>
      <c r="G19" s="1">
        <v>4466.67</v>
      </c>
      <c r="H19" s="1">
        <v>4466.67</v>
      </c>
      <c r="I19" s="1">
        <v>4644.4399999999996</v>
      </c>
      <c r="J19" s="1" t="s">
        <v>12</v>
      </c>
    </row>
    <row r="20" spans="1:10" x14ac:dyDescent="0.35">
      <c r="A20" t="s">
        <v>40</v>
      </c>
      <c r="B20" t="s">
        <v>33</v>
      </c>
      <c r="C20" s="1">
        <v>11.8</v>
      </c>
      <c r="D20" s="1">
        <v>10202.219999999999</v>
      </c>
      <c r="E20" s="1">
        <v>11404.17</v>
      </c>
      <c r="F20" s="1">
        <v>11650</v>
      </c>
      <c r="G20" s="1">
        <v>11466.67</v>
      </c>
      <c r="H20" s="1">
        <v>11466.67</v>
      </c>
      <c r="I20" s="1">
        <v>11033.33</v>
      </c>
      <c r="J20" s="1" t="s">
        <v>12</v>
      </c>
    </row>
    <row r="21" spans="1:10" x14ac:dyDescent="0.35">
      <c r="A21" t="s">
        <v>41</v>
      </c>
      <c r="B21" t="s">
        <v>25</v>
      </c>
      <c r="C21" s="1">
        <v>-33.9</v>
      </c>
      <c r="D21" s="1">
        <v>50.8</v>
      </c>
      <c r="E21" s="1">
        <v>33.6</v>
      </c>
      <c r="F21" s="1">
        <v>43.5</v>
      </c>
      <c r="G21" s="1">
        <v>30.74</v>
      </c>
      <c r="H21" s="1">
        <v>24.78</v>
      </c>
      <c r="I21" s="1">
        <v>35.380000000000003</v>
      </c>
      <c r="J21" s="1" t="s">
        <v>12</v>
      </c>
    </row>
    <row r="22" spans="1:10" x14ac:dyDescent="0.35">
      <c r="A22" t="s">
        <v>42</v>
      </c>
      <c r="B22" t="s">
        <v>25</v>
      </c>
      <c r="C22" s="1">
        <v>-44.7</v>
      </c>
      <c r="D22" s="1">
        <v>10.050000000000001</v>
      </c>
      <c r="E22" s="1">
        <v>5.55</v>
      </c>
      <c r="F22" s="1">
        <v>6.31</v>
      </c>
      <c r="G22" s="1">
        <v>5.91</v>
      </c>
      <c r="H22" s="1">
        <v>5.38</v>
      </c>
      <c r="I22" s="1">
        <v>4.62</v>
      </c>
      <c r="J22" s="1" t="s">
        <v>12</v>
      </c>
    </row>
    <row r="23" spans="1:10" x14ac:dyDescent="0.35">
      <c r="A23" t="s">
        <v>43</v>
      </c>
      <c r="B23" t="s">
        <v>25</v>
      </c>
      <c r="C23" s="1">
        <v>-25.8</v>
      </c>
      <c r="D23" s="1">
        <v>7.7</v>
      </c>
      <c r="E23" s="1">
        <v>5.72</v>
      </c>
      <c r="F23" s="1">
        <v>6.71</v>
      </c>
      <c r="G23" s="1">
        <v>5.88</v>
      </c>
      <c r="H23" s="1">
        <v>5.3</v>
      </c>
      <c r="I23" s="1">
        <v>4.97</v>
      </c>
      <c r="J23" s="1" t="s">
        <v>12</v>
      </c>
    </row>
    <row r="24" spans="1:10" x14ac:dyDescent="0.35">
      <c r="A24" t="s">
        <v>44</v>
      </c>
      <c r="B24" t="s">
        <v>25</v>
      </c>
      <c r="C24" s="1">
        <v>-5.6</v>
      </c>
      <c r="D24" s="1">
        <v>10.130000000000001</v>
      </c>
      <c r="E24" s="1">
        <v>9.56</v>
      </c>
      <c r="F24" s="1">
        <v>10.220000000000001</v>
      </c>
      <c r="G24" s="1">
        <v>9.6199999999999992</v>
      </c>
      <c r="H24" s="1">
        <v>8.64</v>
      </c>
      <c r="I24" s="1">
        <v>9.7799999999999994</v>
      </c>
      <c r="J24" s="1" t="s">
        <v>12</v>
      </c>
    </row>
    <row r="25" spans="1:10" x14ac:dyDescent="0.35">
      <c r="A25" t="s">
        <v>45</v>
      </c>
      <c r="B25" t="s">
        <v>37</v>
      </c>
      <c r="C25" s="1">
        <v>41.1</v>
      </c>
      <c r="D25" s="1">
        <v>8.67</v>
      </c>
      <c r="E25" s="1">
        <v>12.23</v>
      </c>
      <c r="F25" s="1">
        <v>10</v>
      </c>
      <c r="G25" s="1">
        <v>13.92</v>
      </c>
      <c r="H25" s="1">
        <v>13.33</v>
      </c>
      <c r="I25" s="1">
        <v>11.68</v>
      </c>
      <c r="J25" s="1" t="s">
        <v>12</v>
      </c>
    </row>
    <row r="26" spans="1:10" x14ac:dyDescent="0.35">
      <c r="A26" t="s">
        <v>46</v>
      </c>
      <c r="B26" t="s">
        <v>25</v>
      </c>
      <c r="C26" s="1">
        <v>60.9</v>
      </c>
      <c r="D26" s="1">
        <v>13.09</v>
      </c>
      <c r="E26" s="1">
        <v>21.06</v>
      </c>
      <c r="F26" s="1">
        <v>25.11</v>
      </c>
      <c r="G26" s="1">
        <v>21.23</v>
      </c>
      <c r="H26" s="1">
        <v>22.02</v>
      </c>
      <c r="I26" s="1">
        <v>15.88</v>
      </c>
      <c r="J26" s="1" t="s">
        <v>12</v>
      </c>
    </row>
    <row r="27" spans="1:10" x14ac:dyDescent="0.35">
      <c r="A27" t="s">
        <v>47</v>
      </c>
      <c r="B27" t="s">
        <v>25</v>
      </c>
      <c r="C27" s="1">
        <v>49.8</v>
      </c>
      <c r="D27" s="1">
        <v>12.05</v>
      </c>
      <c r="E27" s="1">
        <v>18.05</v>
      </c>
      <c r="F27" s="1">
        <v>21.22</v>
      </c>
      <c r="G27" s="1">
        <v>20.02</v>
      </c>
      <c r="H27" s="1">
        <v>20.28</v>
      </c>
      <c r="I27" s="1">
        <v>10.67</v>
      </c>
      <c r="J27" s="1" t="s">
        <v>12</v>
      </c>
    </row>
    <row r="28" spans="1:10" x14ac:dyDescent="0.35">
      <c r="A28" t="s">
        <v>48</v>
      </c>
      <c r="B28" t="s">
        <v>49</v>
      </c>
      <c r="C28" s="1">
        <v>45.2</v>
      </c>
      <c r="D28" s="1">
        <v>22.06</v>
      </c>
      <c r="E28" s="1">
        <v>32.020000000000003</v>
      </c>
      <c r="F28" s="1">
        <v>20.32</v>
      </c>
      <c r="G28" s="1">
        <v>31.5</v>
      </c>
      <c r="H28" s="1">
        <v>40</v>
      </c>
      <c r="I28" s="1">
        <v>36.28</v>
      </c>
      <c r="J28" s="1" t="s">
        <v>12</v>
      </c>
    </row>
    <row r="29" spans="1:10" x14ac:dyDescent="0.35">
      <c r="A29" t="s">
        <v>50</v>
      </c>
      <c r="B29" t="s">
        <v>25</v>
      </c>
      <c r="C29" s="1">
        <v>7.4</v>
      </c>
      <c r="D29" s="1">
        <v>27.21</v>
      </c>
      <c r="E29" s="1">
        <v>29.22</v>
      </c>
      <c r="F29" s="1">
        <v>32.97</v>
      </c>
      <c r="G29" s="1">
        <v>30.92</v>
      </c>
      <c r="H29" s="1">
        <v>23.95</v>
      </c>
      <c r="I29" s="1">
        <v>29.03</v>
      </c>
      <c r="J29" s="1" t="s">
        <v>12</v>
      </c>
    </row>
    <row r="30" spans="1:10" x14ac:dyDescent="0.35">
      <c r="A30" t="s">
        <v>51</v>
      </c>
      <c r="B30" t="s">
        <v>25</v>
      </c>
      <c r="C30" s="1">
        <v>37.5</v>
      </c>
      <c r="D30" s="1">
        <v>27.26</v>
      </c>
      <c r="E30" s="1">
        <v>37.5</v>
      </c>
      <c r="F30" s="1">
        <v>40</v>
      </c>
      <c r="G30" s="1">
        <v>39.33</v>
      </c>
      <c r="H30" s="1">
        <v>38.5</v>
      </c>
      <c r="I30" s="1">
        <v>32.17</v>
      </c>
      <c r="J30" s="1" t="s">
        <v>12</v>
      </c>
    </row>
    <row r="31" spans="1:10" x14ac:dyDescent="0.35">
      <c r="A31" t="s">
        <v>52</v>
      </c>
      <c r="B31" t="s">
        <v>25</v>
      </c>
      <c r="C31" s="1">
        <v>24.3</v>
      </c>
      <c r="D31" s="1">
        <v>8.42</v>
      </c>
      <c r="E31" s="1">
        <v>10.47</v>
      </c>
      <c r="F31" s="1">
        <v>12.78</v>
      </c>
      <c r="G31" s="1">
        <v>11.34</v>
      </c>
      <c r="H31" s="1">
        <v>10.029999999999999</v>
      </c>
      <c r="I31" s="1">
        <v>7.72</v>
      </c>
      <c r="J31" s="1" t="s">
        <v>12</v>
      </c>
    </row>
    <row r="32" spans="1:10" x14ac:dyDescent="0.35">
      <c r="A32" t="s">
        <v>53</v>
      </c>
      <c r="B32" t="s">
        <v>25</v>
      </c>
      <c r="C32" s="1">
        <v>4.5</v>
      </c>
      <c r="D32" s="1">
        <v>15.6</v>
      </c>
      <c r="E32" s="1">
        <v>16.3</v>
      </c>
      <c r="F32" s="1">
        <v>16.46</v>
      </c>
      <c r="G32" s="1">
        <v>15.5</v>
      </c>
      <c r="H32" s="1">
        <v>17.03</v>
      </c>
      <c r="I32" s="1">
        <v>16.22</v>
      </c>
      <c r="J32" s="1" t="s">
        <v>12</v>
      </c>
    </row>
    <row r="33" spans="1:10" x14ac:dyDescent="0.35">
      <c r="A33" t="s">
        <v>54</v>
      </c>
      <c r="B33" t="s">
        <v>25</v>
      </c>
      <c r="C33" s="1">
        <v>-33.1</v>
      </c>
      <c r="D33" s="1">
        <v>22.53</v>
      </c>
      <c r="E33" s="1">
        <v>15.08</v>
      </c>
      <c r="F33" s="1">
        <v>20.329999999999998</v>
      </c>
      <c r="G33" s="1"/>
      <c r="H33" s="1">
        <v>10.08</v>
      </c>
      <c r="I33" s="1">
        <v>14.83</v>
      </c>
      <c r="J33" s="1" t="s">
        <v>12</v>
      </c>
    </row>
    <row r="34" spans="1:10" x14ac:dyDescent="0.35">
      <c r="A34" t="s">
        <v>55</v>
      </c>
      <c r="B34" t="s">
        <v>56</v>
      </c>
      <c r="C34" s="1">
        <v>15.4</v>
      </c>
      <c r="D34" s="1">
        <v>13.37</v>
      </c>
      <c r="E34" s="1">
        <v>15.43</v>
      </c>
      <c r="F34" s="1">
        <v>16.37</v>
      </c>
      <c r="G34" s="1">
        <v>15.78</v>
      </c>
      <c r="H34" s="1">
        <v>14.32</v>
      </c>
      <c r="I34" s="1">
        <v>15.25</v>
      </c>
      <c r="J34" s="1" t="s">
        <v>12</v>
      </c>
    </row>
    <row r="35" spans="1:10" x14ac:dyDescent="0.35">
      <c r="A35" t="s">
        <v>57</v>
      </c>
      <c r="B35" t="s">
        <v>56</v>
      </c>
      <c r="C35" s="1">
        <v>1.6</v>
      </c>
      <c r="D35" s="1">
        <v>12.5</v>
      </c>
      <c r="E35" s="1">
        <v>12.7</v>
      </c>
      <c r="F35" s="1">
        <v>14.1</v>
      </c>
      <c r="G35" s="1"/>
      <c r="H35" s="1">
        <v>10.33</v>
      </c>
      <c r="I35" s="1">
        <v>13.66</v>
      </c>
      <c r="J35" s="1" t="s">
        <v>12</v>
      </c>
    </row>
    <row r="36" spans="1:10" x14ac:dyDescent="0.35">
      <c r="A36" t="s">
        <v>58</v>
      </c>
      <c r="B36" t="s">
        <v>25</v>
      </c>
      <c r="C36" s="1">
        <v>-0.4</v>
      </c>
      <c r="D36" s="1">
        <v>6.84</v>
      </c>
      <c r="E36" s="1">
        <v>6.81</v>
      </c>
      <c r="F36" s="1">
        <v>9.9600000000000009</v>
      </c>
      <c r="G36" s="1">
        <v>6.12</v>
      </c>
      <c r="H36" s="1">
        <v>5.82</v>
      </c>
      <c r="I36" s="1">
        <v>5.35</v>
      </c>
      <c r="J36" s="1" t="s">
        <v>12</v>
      </c>
    </row>
    <row r="37" spans="1:10" x14ac:dyDescent="0.35">
      <c r="A37" t="s">
        <v>59</v>
      </c>
      <c r="B37" t="s">
        <v>56</v>
      </c>
      <c r="C37" s="1">
        <v>63</v>
      </c>
      <c r="D37" s="1">
        <v>2.99</v>
      </c>
      <c r="E37" s="1">
        <v>4.88</v>
      </c>
      <c r="F37" s="1"/>
      <c r="G37" s="1"/>
      <c r="H37" s="1">
        <v>5</v>
      </c>
      <c r="I37" s="1">
        <v>4.75</v>
      </c>
      <c r="J37" s="1" t="s">
        <v>12</v>
      </c>
    </row>
    <row r="38" spans="1:10" x14ac:dyDescent="0.35">
      <c r="A38" t="s">
        <v>60</v>
      </c>
      <c r="B38" t="s">
        <v>25</v>
      </c>
      <c r="C38" s="1">
        <v>7.9</v>
      </c>
      <c r="D38" s="1">
        <v>5.77</v>
      </c>
      <c r="E38" s="1">
        <v>6.22</v>
      </c>
      <c r="F38" s="1">
        <v>7.09</v>
      </c>
      <c r="G38" s="1">
        <v>6.83</v>
      </c>
      <c r="H38" s="1">
        <v>5</v>
      </c>
      <c r="I38" s="1">
        <v>5.96</v>
      </c>
      <c r="J38" s="1" t="s">
        <v>12</v>
      </c>
    </row>
    <row r="39" spans="1:10" x14ac:dyDescent="0.35">
      <c r="A39" t="s">
        <v>61</v>
      </c>
      <c r="B39" t="s">
        <v>25</v>
      </c>
      <c r="C39" s="1">
        <v>5.3</v>
      </c>
      <c r="D39" s="1">
        <v>3.25</v>
      </c>
      <c r="E39" s="1">
        <v>3.42</v>
      </c>
      <c r="F39" s="1">
        <v>3.98</v>
      </c>
      <c r="G39" s="1">
        <v>3.86</v>
      </c>
      <c r="H39" s="1">
        <v>2.33</v>
      </c>
      <c r="I39" s="1">
        <v>3.52</v>
      </c>
      <c r="J39" s="1" t="s">
        <v>12</v>
      </c>
    </row>
    <row r="40" spans="1:10" x14ac:dyDescent="0.35">
      <c r="A40" t="s">
        <v>62</v>
      </c>
      <c r="B40" t="s">
        <v>25</v>
      </c>
      <c r="C40" s="1">
        <v>117.6</v>
      </c>
      <c r="D40" s="1">
        <v>4.87</v>
      </c>
      <c r="E40" s="1">
        <v>10.6</v>
      </c>
      <c r="F40" s="1">
        <v>10.83</v>
      </c>
      <c r="G40" s="1"/>
      <c r="H40" s="1"/>
      <c r="I40" s="1">
        <v>10.36</v>
      </c>
      <c r="J40" s="1" t="s">
        <v>12</v>
      </c>
    </row>
    <row r="41" spans="1:10" x14ac:dyDescent="0.35">
      <c r="A41" t="s">
        <v>63</v>
      </c>
      <c r="B41" t="s">
        <v>25</v>
      </c>
      <c r="C41" s="1">
        <v>44.7</v>
      </c>
      <c r="D41" s="1">
        <v>8.48</v>
      </c>
      <c r="E41" s="1">
        <v>12.27</v>
      </c>
      <c r="F41" s="1">
        <v>12.83</v>
      </c>
      <c r="G41" s="1"/>
      <c r="H41" s="1">
        <v>12.11</v>
      </c>
      <c r="I41" s="1">
        <v>11.85</v>
      </c>
      <c r="J41" s="1" t="s">
        <v>12</v>
      </c>
    </row>
    <row r="42" spans="1:10" x14ac:dyDescent="0.35">
      <c r="A42" t="s">
        <v>64</v>
      </c>
      <c r="B42" t="s">
        <v>25</v>
      </c>
      <c r="C42" s="1">
        <v>38.799999999999997</v>
      </c>
      <c r="D42" s="1">
        <v>8.52</v>
      </c>
      <c r="E42" s="1">
        <v>11.82</v>
      </c>
      <c r="F42" s="1">
        <v>12.11</v>
      </c>
      <c r="G42" s="1"/>
      <c r="H42" s="1">
        <v>12</v>
      </c>
      <c r="I42" s="1">
        <v>11.35</v>
      </c>
      <c r="J42" s="1" t="s">
        <v>12</v>
      </c>
    </row>
    <row r="43" spans="1:10" x14ac:dyDescent="0.35">
      <c r="A43" t="s">
        <v>65</v>
      </c>
      <c r="B43" t="s">
        <v>25</v>
      </c>
      <c r="C43" s="1">
        <v>57.3</v>
      </c>
      <c r="D43" s="1">
        <v>8.76</v>
      </c>
      <c r="E43" s="1">
        <v>13.79</v>
      </c>
      <c r="F43" s="1">
        <v>13.83</v>
      </c>
      <c r="G43" s="1"/>
      <c r="H43" s="1"/>
      <c r="I43" s="1">
        <v>13.74</v>
      </c>
      <c r="J43" s="1" t="s">
        <v>12</v>
      </c>
    </row>
    <row r="44" spans="1:10" x14ac:dyDescent="0.35">
      <c r="A44" t="s">
        <v>66</v>
      </c>
      <c r="B44" t="s">
        <v>25</v>
      </c>
      <c r="C44" s="1">
        <v>0</v>
      </c>
      <c r="D44" s="1">
        <v>31.56</v>
      </c>
      <c r="E44" s="1">
        <v>31.56</v>
      </c>
      <c r="F44" s="1">
        <v>32.17</v>
      </c>
      <c r="G44" s="1">
        <v>30.57</v>
      </c>
      <c r="H44" s="1">
        <v>31.92</v>
      </c>
      <c r="I44" s="1"/>
      <c r="J44" s="1" t="s">
        <v>12</v>
      </c>
    </row>
    <row r="45" spans="1:10" x14ac:dyDescent="0.35">
      <c r="A45" t="s">
        <v>67</v>
      </c>
      <c r="B45" t="s">
        <v>25</v>
      </c>
      <c r="C45" s="1">
        <v>34</v>
      </c>
      <c r="D45" s="1">
        <v>6.66</v>
      </c>
      <c r="E45" s="1">
        <v>8.92</v>
      </c>
      <c r="F45" s="1">
        <v>8.09</v>
      </c>
      <c r="G45" s="1">
        <v>7.94</v>
      </c>
      <c r="H45" s="1">
        <v>10.72</v>
      </c>
      <c r="I45" s="1"/>
      <c r="J45" s="1" t="s">
        <v>12</v>
      </c>
    </row>
    <row r="46" spans="1:10" x14ac:dyDescent="0.35">
      <c r="A46" t="s">
        <v>68</v>
      </c>
      <c r="B46" t="s">
        <v>25</v>
      </c>
      <c r="C46" s="1">
        <v>12.6</v>
      </c>
      <c r="D46" s="1">
        <v>7.75</v>
      </c>
      <c r="E46" s="1">
        <v>8.73</v>
      </c>
      <c r="F46" s="1">
        <v>7.27</v>
      </c>
      <c r="G46" s="1">
        <v>6.77</v>
      </c>
      <c r="H46" s="1">
        <v>10.15</v>
      </c>
      <c r="I46" s="1">
        <v>10.72</v>
      </c>
      <c r="J46" s="1" t="s">
        <v>12</v>
      </c>
    </row>
    <row r="47" spans="1:10" x14ac:dyDescent="0.35">
      <c r="A47" t="s">
        <v>69</v>
      </c>
      <c r="B47" t="s">
        <v>25</v>
      </c>
      <c r="C47" s="1">
        <v>1.2</v>
      </c>
      <c r="D47" s="1">
        <v>7.74</v>
      </c>
      <c r="E47" s="1">
        <v>7.83</v>
      </c>
      <c r="F47" s="1">
        <v>7.5</v>
      </c>
      <c r="G47" s="1">
        <v>7</v>
      </c>
      <c r="H47" s="1">
        <v>7.4</v>
      </c>
      <c r="I47" s="1">
        <v>9.43</v>
      </c>
      <c r="J47" s="1" t="s">
        <v>12</v>
      </c>
    </row>
    <row r="48" spans="1:10" x14ac:dyDescent="0.35">
      <c r="A48" t="s">
        <v>70</v>
      </c>
      <c r="B48" t="s">
        <v>25</v>
      </c>
      <c r="C48" s="1">
        <v>-17.399999999999999</v>
      </c>
      <c r="D48" s="1">
        <v>6.32</v>
      </c>
      <c r="E48" s="1">
        <v>5.22</v>
      </c>
      <c r="F48" s="1">
        <v>5.77</v>
      </c>
      <c r="G48" s="1">
        <v>4.97</v>
      </c>
      <c r="H48" s="1">
        <v>4.16</v>
      </c>
      <c r="I48" s="1">
        <v>5.99</v>
      </c>
      <c r="J48" s="1" t="s">
        <v>12</v>
      </c>
    </row>
    <row r="49" spans="1:10" x14ac:dyDescent="0.35">
      <c r="A49" t="s">
        <v>71</v>
      </c>
      <c r="B49" t="s">
        <v>25</v>
      </c>
      <c r="C49" s="1">
        <v>21.5</v>
      </c>
      <c r="D49" s="1">
        <v>10.86</v>
      </c>
      <c r="E49" s="1">
        <v>13.19</v>
      </c>
      <c r="F49" s="1">
        <v>13.59</v>
      </c>
      <c r="G49" s="1">
        <v>9.44</v>
      </c>
      <c r="H49" s="1">
        <v>14.63</v>
      </c>
      <c r="I49" s="1">
        <v>15.09</v>
      </c>
      <c r="J49" s="1" t="s">
        <v>12</v>
      </c>
    </row>
    <row r="50" spans="1:10" x14ac:dyDescent="0.35">
      <c r="A50" t="s">
        <v>72</v>
      </c>
      <c r="B50" t="s">
        <v>25</v>
      </c>
      <c r="C50" s="1">
        <v>-7.1</v>
      </c>
      <c r="D50" s="1">
        <v>15.92</v>
      </c>
      <c r="E50" s="1">
        <v>14.79</v>
      </c>
      <c r="F50" s="1">
        <v>16.89</v>
      </c>
      <c r="G50" s="1">
        <v>16.53</v>
      </c>
      <c r="H50" s="1">
        <v>13.54</v>
      </c>
      <c r="I50" s="1">
        <v>12.21</v>
      </c>
      <c r="J50" s="1" t="s">
        <v>12</v>
      </c>
    </row>
    <row r="51" spans="1:10" x14ac:dyDescent="0.35">
      <c r="A51" t="s">
        <v>73</v>
      </c>
      <c r="B51" t="s">
        <v>25</v>
      </c>
      <c r="C51" s="1">
        <v>17</v>
      </c>
      <c r="D51" s="1">
        <v>10.62</v>
      </c>
      <c r="E51" s="1">
        <v>12.42</v>
      </c>
      <c r="F51" s="1">
        <v>12.61</v>
      </c>
      <c r="G51" s="1">
        <v>11.63</v>
      </c>
      <c r="H51" s="1">
        <v>11.42</v>
      </c>
      <c r="I51" s="1">
        <v>14.02</v>
      </c>
      <c r="J51" s="1" t="s">
        <v>12</v>
      </c>
    </row>
    <row r="52" spans="1:10" x14ac:dyDescent="0.35">
      <c r="A52" t="s">
        <v>74</v>
      </c>
      <c r="B52" t="s">
        <v>25</v>
      </c>
      <c r="C52" s="1">
        <v>96.2</v>
      </c>
      <c r="D52" s="1">
        <v>5.51</v>
      </c>
      <c r="E52" s="1">
        <v>10.81</v>
      </c>
      <c r="F52" s="1">
        <v>10.11</v>
      </c>
      <c r="G52" s="1">
        <v>11.33</v>
      </c>
      <c r="H52" s="1">
        <v>11</v>
      </c>
      <c r="I52" s="1"/>
      <c r="J52" s="1" t="s">
        <v>12</v>
      </c>
    </row>
    <row r="53" spans="1:10" x14ac:dyDescent="0.35">
      <c r="A53" t="s">
        <v>75</v>
      </c>
      <c r="B53" t="s">
        <v>25</v>
      </c>
      <c r="C53" s="1">
        <v>0</v>
      </c>
      <c r="D53" s="1">
        <v>19.72</v>
      </c>
      <c r="E53" s="1">
        <v>19.72</v>
      </c>
      <c r="F53" s="1"/>
      <c r="G53" s="1">
        <v>19.86</v>
      </c>
      <c r="H53" s="1">
        <v>19.57</v>
      </c>
      <c r="I53" s="1"/>
      <c r="J53" s="1" t="s">
        <v>12</v>
      </c>
    </row>
    <row r="54" spans="1:10" x14ac:dyDescent="0.35">
      <c r="A54" t="s">
        <v>76</v>
      </c>
      <c r="B54" t="s">
        <v>25</v>
      </c>
      <c r="C54" s="1">
        <v>2.4</v>
      </c>
      <c r="D54" s="1">
        <v>24.6</v>
      </c>
      <c r="E54" s="1">
        <v>25.18</v>
      </c>
      <c r="F54" s="1"/>
      <c r="G54" s="1">
        <v>25.03</v>
      </c>
      <c r="H54" s="1">
        <v>25.33</v>
      </c>
      <c r="I54" s="1"/>
      <c r="J54" s="1" t="s">
        <v>12</v>
      </c>
    </row>
    <row r="55" spans="1:10" x14ac:dyDescent="0.35">
      <c r="A55" t="s">
        <v>77</v>
      </c>
      <c r="B55" t="s">
        <v>25</v>
      </c>
      <c r="C55" s="1">
        <v>40.1</v>
      </c>
      <c r="D55" s="1">
        <v>14.47</v>
      </c>
      <c r="E55" s="1">
        <v>20.28</v>
      </c>
      <c r="F55" s="1">
        <v>20</v>
      </c>
      <c r="G55" s="1">
        <v>20.170000000000002</v>
      </c>
      <c r="H55" s="1"/>
      <c r="I55" s="1">
        <v>20.67</v>
      </c>
      <c r="J55" s="1" t="s">
        <v>12</v>
      </c>
    </row>
    <row r="56" spans="1:10" x14ac:dyDescent="0.35">
      <c r="A56" t="s">
        <v>78</v>
      </c>
      <c r="B56" t="s">
        <v>25</v>
      </c>
      <c r="C56" s="1">
        <v>70.2</v>
      </c>
      <c r="D56" s="1">
        <v>30.11</v>
      </c>
      <c r="E56" s="1">
        <v>51.25</v>
      </c>
      <c r="F56" s="1"/>
      <c r="G56" s="1">
        <v>52</v>
      </c>
      <c r="H56" s="1">
        <v>50.5</v>
      </c>
      <c r="I56" s="1"/>
      <c r="J56" s="1" t="s">
        <v>12</v>
      </c>
    </row>
    <row r="57" spans="1:10" x14ac:dyDescent="0.35">
      <c r="A57" t="s">
        <v>79</v>
      </c>
      <c r="B57" t="s">
        <v>25</v>
      </c>
      <c r="C57" s="1">
        <v>60.8</v>
      </c>
      <c r="D57" s="1">
        <v>24.43</v>
      </c>
      <c r="E57" s="1">
        <v>39.29</v>
      </c>
      <c r="F57" s="1"/>
      <c r="G57" s="1">
        <v>40</v>
      </c>
      <c r="H57" s="1">
        <v>38.58</v>
      </c>
      <c r="I57" s="1"/>
      <c r="J57" s="1" t="s">
        <v>12</v>
      </c>
    </row>
    <row r="58" spans="1:10" x14ac:dyDescent="0.35">
      <c r="A58" t="s">
        <v>80</v>
      </c>
      <c r="B58" t="s">
        <v>25</v>
      </c>
      <c r="C58" s="1">
        <v>26.3</v>
      </c>
      <c r="D58" s="1">
        <v>28.08</v>
      </c>
      <c r="E58" s="1">
        <v>35.46</v>
      </c>
      <c r="F58" s="1"/>
      <c r="G58" s="1">
        <v>35</v>
      </c>
      <c r="H58" s="1">
        <v>35.909999999999997</v>
      </c>
      <c r="I58" s="1"/>
      <c r="J58" s="1" t="s">
        <v>12</v>
      </c>
    </row>
    <row r="59" spans="1:10" x14ac:dyDescent="0.35">
      <c r="A59" t="s">
        <v>81</v>
      </c>
      <c r="B59" t="s">
        <v>25</v>
      </c>
      <c r="C59" s="1">
        <v>55.8</v>
      </c>
      <c r="D59" s="1">
        <v>31.4</v>
      </c>
      <c r="E59" s="1">
        <v>48.92</v>
      </c>
      <c r="F59" s="1"/>
      <c r="G59" s="1">
        <v>49.33</v>
      </c>
      <c r="H59" s="1">
        <v>48.5</v>
      </c>
      <c r="I59" s="1"/>
      <c r="J59" s="1" t="s">
        <v>12</v>
      </c>
    </row>
    <row r="60" spans="1:10" x14ac:dyDescent="0.35">
      <c r="A60" t="s">
        <v>82</v>
      </c>
      <c r="B60" t="s">
        <v>25</v>
      </c>
      <c r="C60" s="1">
        <v>61.3</v>
      </c>
      <c r="D60" s="1">
        <v>14.38</v>
      </c>
      <c r="E60" s="1">
        <v>23.19</v>
      </c>
      <c r="F60" s="1"/>
      <c r="G60" s="1">
        <v>26.58</v>
      </c>
      <c r="H60" s="1">
        <v>23</v>
      </c>
      <c r="I60" s="1">
        <v>20</v>
      </c>
      <c r="J60" s="1" t="s">
        <v>12</v>
      </c>
    </row>
    <row r="61" spans="1:10" x14ac:dyDescent="0.35">
      <c r="A61" t="s">
        <v>83</v>
      </c>
      <c r="B61" t="s">
        <v>25</v>
      </c>
      <c r="C61" s="1">
        <v>1.5</v>
      </c>
      <c r="D61" s="1">
        <v>34.74</v>
      </c>
      <c r="E61" s="1">
        <v>35.25</v>
      </c>
      <c r="F61" s="1"/>
      <c r="G61" s="1">
        <v>35.82</v>
      </c>
      <c r="H61" s="1">
        <v>34.68</v>
      </c>
      <c r="I61" s="1"/>
      <c r="J61" s="1" t="s">
        <v>12</v>
      </c>
    </row>
    <row r="62" spans="1:10" x14ac:dyDescent="0.35">
      <c r="A62" t="s">
        <v>84</v>
      </c>
      <c r="B62" t="s">
        <v>25</v>
      </c>
      <c r="C62" s="1">
        <v>5.3</v>
      </c>
      <c r="D62" s="1">
        <v>8.94</v>
      </c>
      <c r="E62" s="1">
        <v>9.41</v>
      </c>
      <c r="F62" s="1"/>
      <c r="G62" s="1">
        <v>7.97</v>
      </c>
      <c r="H62" s="1">
        <v>10.86</v>
      </c>
      <c r="I62" s="1"/>
      <c r="J62" s="1" t="s">
        <v>12</v>
      </c>
    </row>
    <row r="63" spans="1:10" x14ac:dyDescent="0.35">
      <c r="A63" t="s">
        <v>85</v>
      </c>
      <c r="B63" t="s">
        <v>25</v>
      </c>
      <c r="C63" s="1">
        <v>3.4</v>
      </c>
      <c r="D63" s="1">
        <v>11.35</v>
      </c>
      <c r="E63" s="1">
        <v>11.74</v>
      </c>
      <c r="F63" s="1"/>
      <c r="G63" s="1">
        <v>10.11</v>
      </c>
      <c r="H63" s="1">
        <v>14.78</v>
      </c>
      <c r="I63" s="1">
        <v>10.33</v>
      </c>
      <c r="J63" s="1" t="s">
        <v>12</v>
      </c>
    </row>
    <row r="64" spans="1:10" x14ac:dyDescent="0.35">
      <c r="A64" t="s">
        <v>86</v>
      </c>
      <c r="B64" t="s">
        <v>25</v>
      </c>
      <c r="C64" s="1">
        <v>2.4</v>
      </c>
      <c r="D64" s="1">
        <v>29.16</v>
      </c>
      <c r="E64" s="1">
        <v>29.87</v>
      </c>
      <c r="F64" s="1">
        <v>29.35</v>
      </c>
      <c r="G64" s="1">
        <v>30.39</v>
      </c>
      <c r="H64" s="1"/>
      <c r="I64" s="1"/>
      <c r="J64" s="1" t="s">
        <v>12</v>
      </c>
    </row>
    <row r="65" spans="1:10" x14ac:dyDescent="0.35">
      <c r="A65" t="s">
        <v>87</v>
      </c>
      <c r="B65" t="s">
        <v>25</v>
      </c>
      <c r="C65" s="1">
        <v>-2.1</v>
      </c>
      <c r="D65" s="1">
        <v>21.91</v>
      </c>
      <c r="E65" s="1">
        <v>21.45</v>
      </c>
      <c r="F65" s="1">
        <v>21.96</v>
      </c>
      <c r="G65" s="1">
        <v>20.94</v>
      </c>
      <c r="H65" s="1"/>
      <c r="I65" s="1"/>
      <c r="J65" s="1" t="s">
        <v>12</v>
      </c>
    </row>
    <row r="66" spans="1:10" x14ac:dyDescent="0.35">
      <c r="A66" t="s">
        <v>88</v>
      </c>
      <c r="B66" t="s">
        <v>25</v>
      </c>
      <c r="C66" s="1">
        <v>34.6</v>
      </c>
      <c r="D66" s="1">
        <v>18.579999999999998</v>
      </c>
      <c r="E66" s="1">
        <v>25</v>
      </c>
      <c r="F66" s="1"/>
      <c r="G66" s="1">
        <v>25</v>
      </c>
      <c r="H66" s="1"/>
      <c r="I66" s="1"/>
      <c r="J66" s="1" t="s">
        <v>12</v>
      </c>
    </row>
    <row r="67" spans="1:10" x14ac:dyDescent="0.35">
      <c r="A67" t="s">
        <v>89</v>
      </c>
      <c r="B67" t="s">
        <v>25</v>
      </c>
      <c r="C67" s="1">
        <v>5.6</v>
      </c>
      <c r="D67" s="1">
        <v>25.58</v>
      </c>
      <c r="E67" s="1">
        <v>27</v>
      </c>
      <c r="F67" s="1"/>
      <c r="G67" s="1">
        <v>27</v>
      </c>
      <c r="H67" s="1"/>
      <c r="I67" s="1"/>
      <c r="J67" s="1" t="s">
        <v>12</v>
      </c>
    </row>
    <row r="68" spans="1:10" x14ac:dyDescent="0.35">
      <c r="A68" t="s">
        <v>90</v>
      </c>
      <c r="B68" t="s">
        <v>25</v>
      </c>
      <c r="C68" s="1">
        <v>65.099999999999994</v>
      </c>
      <c r="D68" s="1">
        <v>18.63</v>
      </c>
      <c r="E68" s="1">
        <v>30.75</v>
      </c>
      <c r="F68" s="1"/>
      <c r="G68" s="1">
        <v>30.75</v>
      </c>
      <c r="H68" s="1"/>
      <c r="I68" s="1"/>
      <c r="J68" s="1" t="s">
        <v>12</v>
      </c>
    </row>
    <row r="69" spans="1:10" x14ac:dyDescent="0.35">
      <c r="A69" t="s">
        <v>91</v>
      </c>
      <c r="B69" t="s">
        <v>25</v>
      </c>
      <c r="C69" s="1">
        <v>47.8</v>
      </c>
      <c r="D69" s="1">
        <v>20.86</v>
      </c>
      <c r="E69" s="1">
        <v>30.83</v>
      </c>
      <c r="F69" s="1"/>
      <c r="G69" s="1">
        <v>30.83</v>
      </c>
      <c r="H69" s="1"/>
      <c r="I69" s="1"/>
      <c r="J69" s="1" t="s">
        <v>12</v>
      </c>
    </row>
    <row r="70" spans="1:10" x14ac:dyDescent="0.35">
      <c r="A70" t="s">
        <v>92</v>
      </c>
      <c r="B70" t="s">
        <v>25</v>
      </c>
      <c r="C70" s="1">
        <v>52.3</v>
      </c>
      <c r="D70" s="1">
        <v>12.87</v>
      </c>
      <c r="E70" s="1">
        <v>19.600000000000001</v>
      </c>
      <c r="F70" s="1">
        <v>19.09</v>
      </c>
      <c r="G70" s="1">
        <v>20.11</v>
      </c>
      <c r="H70" s="1"/>
      <c r="I70" s="1"/>
      <c r="J70" s="1" t="s">
        <v>12</v>
      </c>
    </row>
    <row r="71" spans="1:10" x14ac:dyDescent="0.35">
      <c r="A71" t="s">
        <v>93</v>
      </c>
      <c r="B71" t="s">
        <v>25</v>
      </c>
      <c r="C71" s="1">
        <v>38.799999999999997</v>
      </c>
      <c r="D71" s="1">
        <v>13.15</v>
      </c>
      <c r="E71" s="1">
        <v>18.25</v>
      </c>
      <c r="F71" s="1">
        <v>18.170000000000002</v>
      </c>
      <c r="G71" s="1">
        <v>18.329999999999998</v>
      </c>
      <c r="H71" s="1"/>
      <c r="I71" s="1"/>
      <c r="J71" s="1" t="s">
        <v>12</v>
      </c>
    </row>
    <row r="72" spans="1:10" x14ac:dyDescent="0.35">
      <c r="A72" t="s">
        <v>94</v>
      </c>
      <c r="B72" t="s">
        <v>25</v>
      </c>
      <c r="C72" s="1">
        <v>3.4</v>
      </c>
      <c r="D72" s="1">
        <v>12.24</v>
      </c>
      <c r="E72" s="1">
        <v>12.66</v>
      </c>
      <c r="F72" s="1">
        <v>12.97</v>
      </c>
      <c r="G72" s="1">
        <v>12.35</v>
      </c>
      <c r="H72" s="1"/>
      <c r="I72" s="1"/>
      <c r="J72" s="1" t="s">
        <v>12</v>
      </c>
    </row>
    <row r="73" spans="1:10" x14ac:dyDescent="0.35">
      <c r="A73" t="s">
        <v>95</v>
      </c>
      <c r="B73" t="s">
        <v>25</v>
      </c>
      <c r="C73" s="1">
        <v>83.9</v>
      </c>
      <c r="D73" s="1">
        <v>11.28</v>
      </c>
      <c r="E73" s="1">
        <v>20.75</v>
      </c>
      <c r="F73" s="1">
        <v>22</v>
      </c>
      <c r="G73" s="1">
        <v>19.5</v>
      </c>
      <c r="H73" s="1"/>
      <c r="I73" s="1"/>
      <c r="J73" s="1" t="s">
        <v>12</v>
      </c>
    </row>
    <row r="74" spans="1:10" x14ac:dyDescent="0.35">
      <c r="A74" t="s">
        <v>96</v>
      </c>
      <c r="B74" t="s">
        <v>25</v>
      </c>
      <c r="C74" s="1">
        <v>8.6</v>
      </c>
      <c r="D74" s="1">
        <v>42.52</v>
      </c>
      <c r="E74" s="1">
        <v>46.17</v>
      </c>
      <c r="F74" s="1">
        <v>45</v>
      </c>
      <c r="G74" s="1">
        <v>47.33</v>
      </c>
      <c r="H74" s="1"/>
      <c r="I74" s="1"/>
      <c r="J74" s="1" t="s">
        <v>12</v>
      </c>
    </row>
    <row r="75" spans="1:10" x14ac:dyDescent="0.35">
      <c r="A75" t="s">
        <v>97</v>
      </c>
      <c r="B75" t="s">
        <v>25</v>
      </c>
      <c r="C75" s="1">
        <v>19.100000000000001</v>
      </c>
      <c r="D75" s="1">
        <v>37.1</v>
      </c>
      <c r="E75" s="1">
        <v>44.17</v>
      </c>
      <c r="F75" s="1">
        <v>40</v>
      </c>
      <c r="G75" s="1">
        <v>48.33</v>
      </c>
      <c r="H75" s="1"/>
      <c r="I75" s="1"/>
      <c r="J75" s="1" t="s">
        <v>12</v>
      </c>
    </row>
    <row r="76" spans="1:10" x14ac:dyDescent="0.35">
      <c r="A76" t="s">
        <v>98</v>
      </c>
      <c r="B76" t="s">
        <v>25</v>
      </c>
      <c r="C76" s="1">
        <v>0.8</v>
      </c>
      <c r="D76" s="1">
        <v>272.33</v>
      </c>
      <c r="E76" s="1">
        <v>274.63</v>
      </c>
      <c r="F76" s="1">
        <v>284.63</v>
      </c>
      <c r="G76" s="1">
        <v>282.95999999999998</v>
      </c>
      <c r="H76" s="1">
        <v>278.7</v>
      </c>
      <c r="I76" s="1">
        <v>252.22</v>
      </c>
      <c r="J76" s="1" t="s">
        <v>12</v>
      </c>
    </row>
    <row r="77" spans="1:10" x14ac:dyDescent="0.35">
      <c r="A77" t="s">
        <v>99</v>
      </c>
      <c r="B77" t="s">
        <v>25</v>
      </c>
      <c r="C77" s="1">
        <v>2.5</v>
      </c>
      <c r="D77" s="1">
        <v>210.13</v>
      </c>
      <c r="E77" s="1">
        <v>215.39</v>
      </c>
      <c r="F77" s="1">
        <v>211.48</v>
      </c>
      <c r="G77" s="1">
        <v>216.76</v>
      </c>
      <c r="H77" s="1">
        <v>214.44</v>
      </c>
      <c r="I77" s="1">
        <v>218.89</v>
      </c>
      <c r="J77" s="1" t="s">
        <v>12</v>
      </c>
    </row>
    <row r="78" spans="1:10" x14ac:dyDescent="0.35">
      <c r="A78" t="s">
        <v>100</v>
      </c>
      <c r="B78" t="s">
        <v>25</v>
      </c>
      <c r="C78" s="1">
        <v>6.7</v>
      </c>
      <c r="D78" s="1">
        <v>253.96</v>
      </c>
      <c r="E78" s="1">
        <v>270.94</v>
      </c>
      <c r="F78" s="1">
        <v>279.17</v>
      </c>
      <c r="G78" s="1">
        <v>276.67</v>
      </c>
      <c r="H78" s="1">
        <v>275.83</v>
      </c>
      <c r="I78" s="1">
        <v>252.08</v>
      </c>
      <c r="J78" s="1" t="s">
        <v>12</v>
      </c>
    </row>
    <row r="79" spans="1:10" x14ac:dyDescent="0.35">
      <c r="A79" t="s">
        <v>101</v>
      </c>
      <c r="B79" t="s">
        <v>25</v>
      </c>
      <c r="C79" s="1">
        <v>-2.8</v>
      </c>
      <c r="D79" s="1">
        <v>216.97</v>
      </c>
      <c r="E79" s="1">
        <v>210.9</v>
      </c>
      <c r="F79" s="1">
        <v>213.96</v>
      </c>
      <c r="G79" s="1">
        <v>216.88</v>
      </c>
      <c r="H79" s="1">
        <v>212.22</v>
      </c>
      <c r="I79" s="1">
        <v>200.56</v>
      </c>
      <c r="J79" s="1" t="s">
        <v>12</v>
      </c>
    </row>
    <row r="80" spans="1:10" x14ac:dyDescent="0.35">
      <c r="A80" t="s">
        <v>102</v>
      </c>
      <c r="B80" t="s">
        <v>25</v>
      </c>
      <c r="C80" s="1">
        <v>0.1</v>
      </c>
      <c r="D80" s="1">
        <v>166.15</v>
      </c>
      <c r="E80" s="1">
        <v>166.28</v>
      </c>
      <c r="F80" s="1">
        <v>167.83</v>
      </c>
      <c r="G80" s="1">
        <v>166.67</v>
      </c>
      <c r="H80" s="1">
        <v>165.96</v>
      </c>
      <c r="I80" s="1">
        <v>164.67</v>
      </c>
      <c r="J80" s="1" t="s">
        <v>12</v>
      </c>
    </row>
    <row r="81" spans="1:10" x14ac:dyDescent="0.35">
      <c r="A81" t="s">
        <v>103</v>
      </c>
      <c r="B81" t="s">
        <v>25</v>
      </c>
      <c r="C81" s="1">
        <v>0</v>
      </c>
      <c r="D81" s="1">
        <v>119.58</v>
      </c>
      <c r="E81" s="1">
        <v>119.53</v>
      </c>
      <c r="F81" s="1">
        <v>120.11</v>
      </c>
      <c r="G81" s="1">
        <v>120.09</v>
      </c>
      <c r="H81" s="1">
        <v>119.56</v>
      </c>
      <c r="I81" s="1">
        <v>118.34</v>
      </c>
      <c r="J81" s="1" t="s">
        <v>12</v>
      </c>
    </row>
    <row r="82" spans="1:10" x14ac:dyDescent="0.35">
      <c r="A82" t="s">
        <v>104</v>
      </c>
      <c r="B82" t="s">
        <v>25</v>
      </c>
      <c r="C82" s="1">
        <v>60.7</v>
      </c>
      <c r="D82" s="1">
        <v>78.099999999999994</v>
      </c>
      <c r="E82" s="1">
        <v>125.47</v>
      </c>
      <c r="F82" s="1">
        <v>120.33</v>
      </c>
      <c r="G82" s="1">
        <v>130.91999999999999</v>
      </c>
      <c r="H82" s="1">
        <v>125.72</v>
      </c>
      <c r="I82" s="1">
        <v>124.93</v>
      </c>
      <c r="J82" s="1" t="s">
        <v>12</v>
      </c>
    </row>
    <row r="83" spans="1:10" x14ac:dyDescent="0.35">
      <c r="A83" t="s">
        <v>105</v>
      </c>
      <c r="B83" t="s">
        <v>25</v>
      </c>
      <c r="C83" s="1">
        <v>8.5</v>
      </c>
      <c r="D83" s="1">
        <v>90.14</v>
      </c>
      <c r="E83" s="1">
        <v>97.82</v>
      </c>
      <c r="F83" s="1">
        <v>99.22</v>
      </c>
      <c r="G83" s="1">
        <v>98.46</v>
      </c>
      <c r="H83" s="1">
        <v>97.43</v>
      </c>
      <c r="I83" s="1">
        <v>96.15</v>
      </c>
      <c r="J83" s="1" t="s">
        <v>12</v>
      </c>
    </row>
    <row r="84" spans="1:10" x14ac:dyDescent="0.35">
      <c r="A84" t="s">
        <v>106</v>
      </c>
      <c r="B84" t="s">
        <v>25</v>
      </c>
      <c r="C84" s="1">
        <v>-13.9</v>
      </c>
      <c r="D84" s="1">
        <v>64.11</v>
      </c>
      <c r="E84" s="1">
        <v>55.19</v>
      </c>
      <c r="F84" s="1">
        <v>58.89</v>
      </c>
      <c r="G84" s="1">
        <v>57.47</v>
      </c>
      <c r="H84" s="1">
        <v>52.42</v>
      </c>
      <c r="I84" s="1">
        <v>51.99</v>
      </c>
      <c r="J84" s="1" t="s">
        <v>12</v>
      </c>
    </row>
    <row r="85" spans="1:10" x14ac:dyDescent="0.35">
      <c r="A85" t="s">
        <v>107</v>
      </c>
      <c r="B85" t="s">
        <v>25</v>
      </c>
      <c r="C85" s="1">
        <v>0.3</v>
      </c>
      <c r="D85" s="1">
        <v>102.76</v>
      </c>
      <c r="E85" s="1">
        <v>103.02</v>
      </c>
      <c r="F85" s="1">
        <v>104.82</v>
      </c>
      <c r="G85" s="1">
        <v>103</v>
      </c>
      <c r="H85" s="1">
        <v>102.82</v>
      </c>
      <c r="I85" s="1">
        <v>101.43</v>
      </c>
      <c r="J85" s="1" t="s">
        <v>12</v>
      </c>
    </row>
    <row r="86" spans="1:10" x14ac:dyDescent="0.35">
      <c r="A86" t="s">
        <v>108</v>
      </c>
      <c r="B86" t="s">
        <v>25</v>
      </c>
      <c r="C86" s="1">
        <v>0.1</v>
      </c>
      <c r="D86" s="1">
        <v>104.77</v>
      </c>
      <c r="E86" s="1">
        <v>104.83</v>
      </c>
      <c r="F86" s="1">
        <v>105.98</v>
      </c>
      <c r="G86" s="1">
        <v>105.96</v>
      </c>
      <c r="H86" s="1">
        <v>103.97</v>
      </c>
      <c r="I86" s="1">
        <v>103.41</v>
      </c>
      <c r="J86" s="1" t="s">
        <v>12</v>
      </c>
    </row>
    <row r="87" spans="1:10" x14ac:dyDescent="0.35">
      <c r="A87" t="s">
        <v>109</v>
      </c>
      <c r="B87" t="s">
        <v>25</v>
      </c>
      <c r="C87" s="1">
        <v>3.5</v>
      </c>
      <c r="D87" s="1">
        <v>95.23</v>
      </c>
      <c r="E87" s="1">
        <v>98.57</v>
      </c>
      <c r="F87" s="1">
        <v>99.55</v>
      </c>
      <c r="G87" s="1">
        <v>99.14</v>
      </c>
      <c r="H87" s="1">
        <v>98.44</v>
      </c>
      <c r="I87" s="1">
        <v>97.14</v>
      </c>
      <c r="J87" s="1" t="s">
        <v>12</v>
      </c>
    </row>
    <row r="88" spans="1:10" x14ac:dyDescent="0.35">
      <c r="A88" t="s">
        <v>110</v>
      </c>
      <c r="B88" t="s">
        <v>111</v>
      </c>
      <c r="C88" s="1">
        <v>-2.2999999999999998</v>
      </c>
      <c r="D88" s="1">
        <v>108.61</v>
      </c>
      <c r="E88" s="1">
        <v>106.12</v>
      </c>
      <c r="F88" s="1">
        <v>108.92</v>
      </c>
      <c r="G88" s="1">
        <v>103.03</v>
      </c>
      <c r="H88" s="1">
        <v>106.94</v>
      </c>
      <c r="I88" s="1">
        <v>105.58</v>
      </c>
      <c r="J88" s="1" t="s">
        <v>12</v>
      </c>
    </row>
    <row r="89" spans="1:10" x14ac:dyDescent="0.35">
      <c r="A89" t="s">
        <v>112</v>
      </c>
      <c r="B89" t="s">
        <v>113</v>
      </c>
      <c r="C89" s="1">
        <v>0.2</v>
      </c>
      <c r="D89" s="1">
        <v>4649.9799999999996</v>
      </c>
      <c r="E89" s="1">
        <v>4660.3999999999996</v>
      </c>
      <c r="F89" s="1">
        <v>4690.09</v>
      </c>
      <c r="G89" s="1">
        <v>4698.13</v>
      </c>
      <c r="H89" s="1">
        <v>4680.3500000000004</v>
      </c>
      <c r="I89" s="1">
        <v>4573.04</v>
      </c>
      <c r="J89" s="1" t="s">
        <v>12</v>
      </c>
    </row>
    <row r="90" spans="1:10" x14ac:dyDescent="0.35">
      <c r="A90" t="s">
        <v>114</v>
      </c>
      <c r="B90" t="s">
        <v>113</v>
      </c>
      <c r="C90" s="1">
        <v>0.4</v>
      </c>
      <c r="D90" s="1">
        <v>4560.93</v>
      </c>
      <c r="E90" s="1">
        <v>4580.32</v>
      </c>
      <c r="F90" s="1">
        <v>4596.8900000000003</v>
      </c>
      <c r="G90" s="1">
        <v>4587.9399999999996</v>
      </c>
      <c r="H90" s="1">
        <v>4571.78</v>
      </c>
      <c r="I90" s="1">
        <v>4564.67</v>
      </c>
      <c r="J90" s="1" t="s">
        <v>12</v>
      </c>
    </row>
    <row r="91" spans="1:10" x14ac:dyDescent="0.35">
      <c r="A91" t="s">
        <v>115</v>
      </c>
      <c r="B91" t="s">
        <v>25</v>
      </c>
      <c r="C91" s="1">
        <v>-14.1</v>
      </c>
      <c r="D91" s="1">
        <v>103.7</v>
      </c>
      <c r="E91" s="1">
        <v>89.09</v>
      </c>
      <c r="F91" s="1">
        <v>94.56</v>
      </c>
      <c r="G91" s="1">
        <v>94.11</v>
      </c>
      <c r="H91" s="1">
        <v>83.89</v>
      </c>
      <c r="I91" s="1">
        <v>83.8</v>
      </c>
      <c r="J91" s="1" t="s">
        <v>12</v>
      </c>
    </row>
    <row r="92" spans="1:10" x14ac:dyDescent="0.35">
      <c r="A92" t="s">
        <v>116</v>
      </c>
      <c r="B92" t="s">
        <v>25</v>
      </c>
      <c r="C92" s="1">
        <v>22.2</v>
      </c>
      <c r="D92" s="1">
        <v>60.07</v>
      </c>
      <c r="E92" s="1">
        <v>73.41</v>
      </c>
      <c r="F92" s="1">
        <v>74.44</v>
      </c>
      <c r="G92" s="1">
        <v>72.92</v>
      </c>
      <c r="H92" s="1">
        <v>74</v>
      </c>
      <c r="I92" s="1">
        <v>72.28</v>
      </c>
      <c r="J92" s="1" t="s">
        <v>12</v>
      </c>
    </row>
    <row r="93" spans="1:10" x14ac:dyDescent="0.35">
      <c r="A93" t="s">
        <v>117</v>
      </c>
      <c r="B93" t="s">
        <v>25</v>
      </c>
      <c r="C93" s="1">
        <v>-6.8</v>
      </c>
      <c r="D93" s="1">
        <v>41.45</v>
      </c>
      <c r="E93" s="1">
        <v>38.65</v>
      </c>
      <c r="F93" s="1">
        <v>40.11</v>
      </c>
      <c r="G93" s="1">
        <v>40.31</v>
      </c>
      <c r="H93" s="1">
        <v>40</v>
      </c>
      <c r="I93" s="1">
        <v>34.17</v>
      </c>
      <c r="J93" s="1" t="s">
        <v>12</v>
      </c>
    </row>
    <row r="94" spans="1:10" x14ac:dyDescent="0.35">
      <c r="A94" t="s">
        <v>118</v>
      </c>
      <c r="B94" t="s">
        <v>25</v>
      </c>
      <c r="C94" s="1">
        <v>0.4</v>
      </c>
      <c r="D94" s="1">
        <v>112.71</v>
      </c>
      <c r="E94" s="1">
        <v>113.17</v>
      </c>
      <c r="F94" s="1">
        <v>113.97</v>
      </c>
      <c r="G94" s="1">
        <v>113.51</v>
      </c>
      <c r="H94" s="1">
        <v>112.87</v>
      </c>
      <c r="I94" s="1">
        <v>112.31</v>
      </c>
      <c r="J94" s="1" t="s">
        <v>12</v>
      </c>
    </row>
    <row r="95" spans="1:10" x14ac:dyDescent="0.35">
      <c r="A95" t="s">
        <v>119</v>
      </c>
      <c r="B95" t="s">
        <v>25</v>
      </c>
      <c r="C95" s="1">
        <v>34.799999999999997</v>
      </c>
      <c r="D95" s="1">
        <v>107.36</v>
      </c>
      <c r="E95" s="1">
        <v>144.76</v>
      </c>
      <c r="F95" s="1">
        <v>147.33000000000001</v>
      </c>
      <c r="G95" s="1">
        <v>146.46</v>
      </c>
      <c r="H95" s="1">
        <v>145.24</v>
      </c>
      <c r="I95" s="1">
        <v>140</v>
      </c>
      <c r="J95" s="1" t="s">
        <v>12</v>
      </c>
    </row>
    <row r="96" spans="1:10" x14ac:dyDescent="0.35">
      <c r="A96" t="s">
        <v>120</v>
      </c>
      <c r="B96" t="s">
        <v>25</v>
      </c>
      <c r="C96" s="1">
        <v>1.7</v>
      </c>
      <c r="D96" s="1">
        <v>92.77</v>
      </c>
      <c r="E96" s="1">
        <v>94.36</v>
      </c>
      <c r="F96" s="1">
        <v>95.89</v>
      </c>
      <c r="G96" s="1">
        <v>95.55</v>
      </c>
      <c r="H96" s="1">
        <v>94.96</v>
      </c>
      <c r="I96" s="1">
        <v>91.05</v>
      </c>
      <c r="J96" s="1" t="s">
        <v>12</v>
      </c>
    </row>
    <row r="97" spans="1:10" x14ac:dyDescent="0.35">
      <c r="A97" t="s">
        <v>121</v>
      </c>
      <c r="B97" t="s">
        <v>25</v>
      </c>
      <c r="C97" s="1">
        <v>-10.6</v>
      </c>
      <c r="D97" s="1">
        <v>21.75</v>
      </c>
      <c r="E97" s="1">
        <v>19.440000000000001</v>
      </c>
      <c r="F97" s="1">
        <v>19.22</v>
      </c>
      <c r="G97" s="1">
        <v>19.78</v>
      </c>
      <c r="H97" s="1">
        <v>19.559999999999999</v>
      </c>
      <c r="I97" s="1">
        <v>19.22</v>
      </c>
      <c r="J97" s="1" t="s">
        <v>12</v>
      </c>
    </row>
    <row r="98" spans="1:10" x14ac:dyDescent="0.35">
      <c r="A98" t="s">
        <v>122</v>
      </c>
      <c r="B98" t="s">
        <v>123</v>
      </c>
      <c r="C98" s="1">
        <v>1.9</v>
      </c>
      <c r="D98" s="1">
        <v>5934.93</v>
      </c>
      <c r="E98" s="1">
        <v>6047.32</v>
      </c>
      <c r="F98" s="1">
        <v>6125.11</v>
      </c>
      <c r="G98" s="1">
        <v>6066.67</v>
      </c>
      <c r="H98" s="1">
        <v>6001.3</v>
      </c>
      <c r="I98" s="1">
        <v>5996.19</v>
      </c>
      <c r="J98" s="1" t="s">
        <v>12</v>
      </c>
    </row>
    <row r="99" spans="1:10" x14ac:dyDescent="0.35">
      <c r="A99" t="s">
        <v>124</v>
      </c>
      <c r="B99" t="s">
        <v>123</v>
      </c>
      <c r="C99" s="1">
        <v>0.1</v>
      </c>
      <c r="D99" s="1">
        <v>7381.25</v>
      </c>
      <c r="E99" s="1">
        <v>7389.11</v>
      </c>
      <c r="F99" s="1">
        <v>7399.94</v>
      </c>
      <c r="G99" s="1">
        <v>7398.37</v>
      </c>
      <c r="H99" s="1">
        <v>7398.33</v>
      </c>
      <c r="I99" s="1">
        <v>7359.81</v>
      </c>
      <c r="J99" s="1" t="s">
        <v>12</v>
      </c>
    </row>
    <row r="100" spans="1:10" x14ac:dyDescent="0.35">
      <c r="A100" t="s">
        <v>125</v>
      </c>
      <c r="B100" t="s">
        <v>25</v>
      </c>
      <c r="C100" s="1">
        <v>2.4</v>
      </c>
      <c r="D100" s="1">
        <v>92.77</v>
      </c>
      <c r="E100" s="1">
        <v>94.99</v>
      </c>
      <c r="F100" s="1">
        <v>96.11</v>
      </c>
      <c r="G100" s="1">
        <v>95.98</v>
      </c>
      <c r="H100" s="1">
        <v>93.97</v>
      </c>
      <c r="I100" s="1">
        <v>93.88</v>
      </c>
      <c r="J100" s="1" t="s">
        <v>12</v>
      </c>
    </row>
    <row r="101" spans="1:10" x14ac:dyDescent="0.35">
      <c r="A101" t="s">
        <v>126</v>
      </c>
      <c r="B101" t="s">
        <v>25</v>
      </c>
      <c r="C101" s="1">
        <v>1.1000000000000001</v>
      </c>
      <c r="D101" s="1">
        <v>111.81</v>
      </c>
      <c r="E101" s="1">
        <v>113.08</v>
      </c>
      <c r="F101" s="1">
        <v>114.22</v>
      </c>
      <c r="G101" s="1">
        <v>113.83</v>
      </c>
      <c r="H101" s="1">
        <v>112.61</v>
      </c>
      <c r="I101" s="1">
        <v>111.67</v>
      </c>
      <c r="J101" s="1" t="s">
        <v>12</v>
      </c>
    </row>
    <row r="102" spans="1:10" x14ac:dyDescent="0.35">
      <c r="A102" t="s">
        <v>127</v>
      </c>
      <c r="B102" t="s">
        <v>25</v>
      </c>
      <c r="C102" s="1">
        <v>4.5</v>
      </c>
      <c r="D102" s="1">
        <v>83.02</v>
      </c>
      <c r="E102" s="1">
        <v>86.76</v>
      </c>
      <c r="F102" s="1">
        <v>94.11</v>
      </c>
      <c r="G102" s="1">
        <v>84.5</v>
      </c>
      <c r="H102" s="1">
        <v>82.78</v>
      </c>
      <c r="I102" s="1">
        <v>85.67</v>
      </c>
      <c r="J102" s="1" t="s">
        <v>12</v>
      </c>
    </row>
    <row r="103" spans="1:10" x14ac:dyDescent="0.35">
      <c r="A103" t="s">
        <v>128</v>
      </c>
      <c r="B103" t="s">
        <v>25</v>
      </c>
      <c r="C103" s="1">
        <v>1.8</v>
      </c>
      <c r="D103" s="1">
        <v>56.17</v>
      </c>
      <c r="E103" s="1">
        <v>57.2</v>
      </c>
      <c r="F103" s="1">
        <v>57.44</v>
      </c>
      <c r="G103" s="1">
        <v>57.33</v>
      </c>
      <c r="H103" s="1">
        <v>57.19</v>
      </c>
      <c r="I103" s="1">
        <v>56.83</v>
      </c>
      <c r="J103" s="1" t="s">
        <v>12</v>
      </c>
    </row>
    <row r="104" spans="1:10" x14ac:dyDescent="0.35">
      <c r="A104" t="s">
        <v>129</v>
      </c>
      <c r="B104" t="s">
        <v>25</v>
      </c>
      <c r="C104" s="1">
        <v>2.2000000000000002</v>
      </c>
      <c r="D104" s="1">
        <v>82</v>
      </c>
      <c r="E104" s="1">
        <v>83.82</v>
      </c>
      <c r="F104" s="1">
        <v>85.67</v>
      </c>
      <c r="G104" s="1">
        <v>84.11</v>
      </c>
      <c r="H104" s="1">
        <v>83.5</v>
      </c>
      <c r="I104" s="1">
        <v>82</v>
      </c>
      <c r="J104" s="1" t="s">
        <v>12</v>
      </c>
    </row>
    <row r="105" spans="1:10" x14ac:dyDescent="0.35">
      <c r="A105" t="s">
        <v>130</v>
      </c>
      <c r="B105" t="s">
        <v>25</v>
      </c>
      <c r="C105" s="1">
        <v>1.9</v>
      </c>
      <c r="D105" s="1">
        <v>86.25</v>
      </c>
      <c r="E105" s="1">
        <v>87.88</v>
      </c>
      <c r="F105" s="1">
        <v>89.66</v>
      </c>
      <c r="G105" s="1">
        <v>88.2</v>
      </c>
      <c r="H105" s="1">
        <v>87</v>
      </c>
      <c r="I105" s="1">
        <v>86.67</v>
      </c>
      <c r="J105" s="1" t="s">
        <v>12</v>
      </c>
    </row>
    <row r="106" spans="1:10" x14ac:dyDescent="0.35">
      <c r="A106" t="s">
        <v>131</v>
      </c>
      <c r="B106" t="s">
        <v>25</v>
      </c>
      <c r="C106" s="1">
        <v>0.6</v>
      </c>
      <c r="D106" s="1">
        <v>226.91</v>
      </c>
      <c r="E106" s="1">
        <v>228.3</v>
      </c>
      <c r="F106" s="1">
        <v>229.11</v>
      </c>
      <c r="G106" s="1">
        <v>228.33</v>
      </c>
      <c r="H106" s="1">
        <v>227.65</v>
      </c>
      <c r="I106" s="1">
        <v>228.11</v>
      </c>
      <c r="J106" s="1" t="s">
        <v>12</v>
      </c>
    </row>
    <row r="107" spans="1:10" x14ac:dyDescent="0.35">
      <c r="A107" t="s">
        <v>132</v>
      </c>
      <c r="B107" t="s">
        <v>25</v>
      </c>
      <c r="C107" s="1">
        <v>1.4</v>
      </c>
      <c r="D107" s="1">
        <v>77.61</v>
      </c>
      <c r="E107" s="1">
        <v>78.73</v>
      </c>
      <c r="F107" s="1">
        <v>79.56</v>
      </c>
      <c r="G107" s="1">
        <v>79.19</v>
      </c>
      <c r="H107" s="1">
        <v>78.239999999999995</v>
      </c>
      <c r="I107" s="1">
        <v>77.91</v>
      </c>
      <c r="J107" s="1" t="s">
        <v>12</v>
      </c>
    </row>
    <row r="108" spans="1:10" x14ac:dyDescent="0.35">
      <c r="A108" t="s">
        <v>133</v>
      </c>
      <c r="B108" t="s">
        <v>25</v>
      </c>
      <c r="C108" s="1">
        <v>5.2</v>
      </c>
      <c r="D108" s="1">
        <v>237.45</v>
      </c>
      <c r="E108" s="1">
        <v>249.71</v>
      </c>
      <c r="F108" s="1">
        <v>254.44</v>
      </c>
      <c r="G108" s="1">
        <v>252.75</v>
      </c>
      <c r="H108" s="1">
        <v>251.54</v>
      </c>
      <c r="I108" s="1">
        <v>240.11</v>
      </c>
      <c r="J108" s="1" t="s">
        <v>12</v>
      </c>
    </row>
    <row r="109" spans="1:10" x14ac:dyDescent="0.35">
      <c r="A109" t="s">
        <v>134</v>
      </c>
      <c r="B109" t="s">
        <v>25</v>
      </c>
      <c r="C109" s="1">
        <v>2.2999999999999998</v>
      </c>
      <c r="D109" s="1">
        <v>88.41</v>
      </c>
      <c r="E109" s="1">
        <v>90.48</v>
      </c>
      <c r="F109" s="1">
        <v>91.25</v>
      </c>
      <c r="G109" s="1">
        <v>90.65</v>
      </c>
      <c r="H109" s="1">
        <v>90.37</v>
      </c>
      <c r="I109" s="1">
        <v>89.64</v>
      </c>
      <c r="J109" s="1" t="s">
        <v>12</v>
      </c>
    </row>
    <row r="110" spans="1:10" x14ac:dyDescent="0.35">
      <c r="A110" t="s">
        <v>135</v>
      </c>
      <c r="B110" t="s">
        <v>136</v>
      </c>
      <c r="C110" s="1">
        <v>35.6</v>
      </c>
      <c r="D110" s="1">
        <v>83.75</v>
      </c>
      <c r="E110" s="1">
        <v>113.55</v>
      </c>
      <c r="F110" s="1">
        <v>115.25</v>
      </c>
      <c r="G110" s="1">
        <v>114.5</v>
      </c>
      <c r="H110" s="1">
        <v>112.78</v>
      </c>
      <c r="I110" s="1">
        <v>111.67</v>
      </c>
      <c r="J110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91A6-ED12-4B24-97E0-35B923D640DC}">
  <dimension ref="A1:V147"/>
  <sheetViews>
    <sheetView workbookViewId="0">
      <selection sqref="A1:XFD1048576"/>
    </sheetView>
  </sheetViews>
  <sheetFormatPr defaultRowHeight="14.5" x14ac:dyDescent="0.35"/>
  <cols>
    <col min="1" max="1" width="15.08984375" bestFit="1" customWidth="1"/>
    <col min="2" max="2" width="9.7265625" bestFit="1" customWidth="1"/>
    <col min="3" max="3" width="9.26953125" bestFit="1" customWidth="1"/>
    <col min="4" max="15" width="8.81640625" bestFit="1" customWidth="1"/>
    <col min="16" max="16" width="7.90625" bestFit="1" customWidth="1"/>
    <col min="17" max="17" width="25.1796875" bestFit="1" customWidth="1"/>
    <col min="18" max="18" width="10.54296875" bestFit="1" customWidth="1"/>
    <col min="19" max="19" width="11.81640625" bestFit="1" customWidth="1"/>
    <col min="20" max="20" width="9.81640625" bestFit="1" customWidth="1"/>
    <col min="21" max="22" width="11.81640625" bestFit="1" customWidth="1"/>
  </cols>
  <sheetData>
    <row r="1" spans="1:22" x14ac:dyDescent="0.35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152</v>
      </c>
      <c r="Q1" t="s">
        <v>153</v>
      </c>
      <c r="R1" t="s">
        <v>9</v>
      </c>
      <c r="S1" t="s">
        <v>5</v>
      </c>
      <c r="T1" t="s">
        <v>6</v>
      </c>
      <c r="U1" t="s">
        <v>792</v>
      </c>
      <c r="V1" t="s">
        <v>8</v>
      </c>
    </row>
    <row r="2" spans="1:22" x14ac:dyDescent="0.35">
      <c r="A2" s="1">
        <v>11.6</v>
      </c>
      <c r="B2" s="1">
        <v>2668.15</v>
      </c>
      <c r="C2" s="1">
        <v>2977.53</v>
      </c>
      <c r="D2" s="1">
        <v>2872.73</v>
      </c>
      <c r="E2" s="1">
        <v>2872.73</v>
      </c>
      <c r="F2" s="1">
        <v>4557.5</v>
      </c>
      <c r="G2" s="1">
        <v>2861.67</v>
      </c>
      <c r="H2" s="1">
        <v>2832.5</v>
      </c>
      <c r="I2" s="1">
        <v>2832.5</v>
      </c>
      <c r="J2" s="1">
        <v>2906.11</v>
      </c>
      <c r="K2" s="1">
        <v>2854.72</v>
      </c>
      <c r="L2" s="1">
        <v>2920.3</v>
      </c>
      <c r="M2" s="1">
        <v>2831.67</v>
      </c>
      <c r="N2" s="1">
        <v>2698.48</v>
      </c>
      <c r="O2" s="1">
        <v>2689.39</v>
      </c>
      <c r="P2" t="s">
        <v>31</v>
      </c>
      <c r="Q2" t="s">
        <v>10</v>
      </c>
      <c r="R2" s="1" t="s">
        <v>154</v>
      </c>
      <c r="S2" s="1">
        <f>IFERROR(AVERAGE(Wholesale[[#This Row],[‫دیسمبر‬‏]]:Wholesale[[#This Row],[‫اكتوبر‬‏]]),"")</f>
        <v>3434.3199999999997</v>
      </c>
      <c r="T2" s="1">
        <f>IFERROR(AVERAGE(Wholesale[[#This Row],[‫سبتمبر‬‏]]:Wholesale[[#This Row],[‫یولیو‬‏]]),"")</f>
        <v>2842.2233333333334</v>
      </c>
      <c r="U2" s="1">
        <f>IFERROR(AVERAGE(Wholesale[[#This Row],[‫یونیو‬‏]]:Wholesale[[#This Row],[‫ابریل‬‏]]),"")</f>
        <v>2893.7100000000005</v>
      </c>
      <c r="V2" s="1">
        <f>IFERROR(AVERAGE(Wholesale[[#This Row],[‫مارس‬‏]]:Wholesale[[#This Row],[‫ینایر‬‏]]),"")</f>
        <v>2739.8466666666664</v>
      </c>
    </row>
    <row r="3" spans="1:22" x14ac:dyDescent="0.35">
      <c r="A3" s="1">
        <v>-0.8</v>
      </c>
      <c r="B3" s="1">
        <v>26338.9</v>
      </c>
      <c r="C3" s="1">
        <v>26122.53</v>
      </c>
      <c r="D3" s="1">
        <v>25098.81</v>
      </c>
      <c r="E3" s="1">
        <v>25420.240000000002</v>
      </c>
      <c r="F3" s="1">
        <v>25507.69</v>
      </c>
      <c r="G3" s="1">
        <v>25782.05</v>
      </c>
      <c r="H3" s="1">
        <v>25864.1</v>
      </c>
      <c r="I3" s="1">
        <v>26325.64</v>
      </c>
      <c r="J3" s="1">
        <v>26380.77</v>
      </c>
      <c r="K3" s="1">
        <v>26670.51</v>
      </c>
      <c r="L3" s="1">
        <v>26762.82</v>
      </c>
      <c r="M3" s="1">
        <v>26519.23</v>
      </c>
      <c r="N3" s="1">
        <v>26747.439999999999</v>
      </c>
      <c r="O3" s="1">
        <v>26391.03</v>
      </c>
      <c r="P3" t="s">
        <v>14</v>
      </c>
      <c r="Q3" t="s">
        <v>155</v>
      </c>
      <c r="R3" s="1" t="s">
        <v>154</v>
      </c>
      <c r="S3" s="1">
        <f>IFERROR(AVERAGE(Wholesale[[#This Row],[‫دیسمبر‬‏]]:Wholesale[[#This Row],[‫اكتوبر‬‏]]),"")</f>
        <v>25342.24666666667</v>
      </c>
      <c r="T3" s="1">
        <f>IFERROR(AVERAGE(Wholesale[[#This Row],[‫سبتمبر‬‏]]:Wholesale[[#This Row],[‫یولیو‬‏]]),"")</f>
        <v>25990.596666666665</v>
      </c>
      <c r="U3" s="1">
        <f>IFERROR(AVERAGE(Wholesale[[#This Row],[‫یونیو‬‏]]:Wholesale[[#This Row],[‫ابریل‬‏]]),"")</f>
        <v>26604.7</v>
      </c>
      <c r="V3" s="1">
        <f>IFERROR(AVERAGE(Wholesale[[#This Row],[‫مارس‬‏]]:Wholesale[[#This Row],[‫ینایر‬‏]]),"")</f>
        <v>26552.566666666666</v>
      </c>
    </row>
    <row r="4" spans="1:22" x14ac:dyDescent="0.35">
      <c r="A4" s="1">
        <v>19.600000000000001</v>
      </c>
      <c r="B4" s="1">
        <v>2482.48</v>
      </c>
      <c r="C4" s="1">
        <v>2968.31</v>
      </c>
      <c r="D4" s="1">
        <v>3006.71</v>
      </c>
      <c r="E4" s="1">
        <v>2870.63</v>
      </c>
      <c r="F4" s="1">
        <v>2897.3</v>
      </c>
      <c r="G4" s="1">
        <v>2869.52</v>
      </c>
      <c r="H4" s="1">
        <v>2978.21</v>
      </c>
      <c r="I4" s="1">
        <v>2916.62</v>
      </c>
      <c r="J4" s="1">
        <v>3254.75</v>
      </c>
      <c r="K4" s="1">
        <v>3077.88</v>
      </c>
      <c r="L4" s="1">
        <v>3097.13</v>
      </c>
      <c r="M4" s="1">
        <v>2793.52</v>
      </c>
      <c r="N4" s="1">
        <v>2770.19</v>
      </c>
      <c r="O4" s="1">
        <v>3087.29</v>
      </c>
      <c r="P4" t="s">
        <v>156</v>
      </c>
      <c r="Q4" t="s">
        <v>15</v>
      </c>
      <c r="R4" s="1" t="s">
        <v>154</v>
      </c>
      <c r="S4" s="1">
        <f>IFERROR(AVERAGE(Wholesale[[#This Row],[‫دیسمبر‬‏]]:Wholesale[[#This Row],[‫اكتوبر‬‏]]),"")</f>
        <v>2924.8799999999997</v>
      </c>
      <c r="T4" s="1">
        <f>IFERROR(AVERAGE(Wholesale[[#This Row],[‫سبتمبر‬‏]]:Wholesale[[#This Row],[‫یولیو‬‏]]),"")</f>
        <v>2921.4499999999994</v>
      </c>
      <c r="U4" s="1">
        <f>IFERROR(AVERAGE(Wholesale[[#This Row],[‫یونیو‬‏]]:Wholesale[[#This Row],[‫ابریل‬‏]]),"")</f>
        <v>3143.2533333333336</v>
      </c>
      <c r="V4" s="1">
        <f>IFERROR(AVERAGE(Wholesale[[#This Row],[‫مارس‬‏]]:Wholesale[[#This Row],[‫ینایر‬‏]]),"")</f>
        <v>2883.6666666666665</v>
      </c>
    </row>
    <row r="5" spans="1:22" x14ac:dyDescent="0.35">
      <c r="A5" s="1">
        <v>-23.7</v>
      </c>
      <c r="B5" s="1">
        <v>4535.09</v>
      </c>
      <c r="C5" s="1">
        <v>3460.39</v>
      </c>
      <c r="D5" s="1">
        <v>3396.36</v>
      </c>
      <c r="E5" s="1">
        <v>3310.03</v>
      </c>
      <c r="F5" s="1">
        <v>3343.44</v>
      </c>
      <c r="G5" s="1">
        <v>3419.89</v>
      </c>
      <c r="H5" s="1">
        <v>3535.72</v>
      </c>
      <c r="I5" s="1">
        <v>3566.36</v>
      </c>
      <c r="J5" s="1">
        <v>3472.68</v>
      </c>
      <c r="K5" s="1">
        <v>3456.99</v>
      </c>
      <c r="L5" s="1">
        <v>3485.67</v>
      </c>
      <c r="M5" s="1">
        <v>3364.56</v>
      </c>
      <c r="N5" s="1">
        <v>3455.94</v>
      </c>
      <c r="O5" s="1">
        <v>3717.08</v>
      </c>
      <c r="P5" t="s">
        <v>156</v>
      </c>
      <c r="Q5" t="s">
        <v>17</v>
      </c>
      <c r="R5" s="1" t="s">
        <v>154</v>
      </c>
      <c r="S5" s="1">
        <f>IFERROR(AVERAGE(Wholesale[[#This Row],[‫دیسمبر‬‏]]:Wholesale[[#This Row],[‫اكتوبر‬‏]]),"")</f>
        <v>3349.9433333333332</v>
      </c>
      <c r="T5" s="1">
        <f>IFERROR(AVERAGE(Wholesale[[#This Row],[‫سبتمبر‬‏]]:Wholesale[[#This Row],[‫یولیو‬‏]]),"")</f>
        <v>3507.3233333333333</v>
      </c>
      <c r="U5" s="1">
        <f>IFERROR(AVERAGE(Wholesale[[#This Row],[‫یونیو‬‏]]:Wholesale[[#This Row],[‫ابریل‬‏]]),"")</f>
        <v>3471.78</v>
      </c>
      <c r="V5" s="1">
        <f>IFERROR(AVERAGE(Wholesale[[#This Row],[‫مارس‬‏]]:Wholesale[[#This Row],[‫ینایر‬‏]]),"")</f>
        <v>3512.5266666666666</v>
      </c>
    </row>
    <row r="6" spans="1:22" x14ac:dyDescent="0.35">
      <c r="A6" s="1">
        <v>19.7</v>
      </c>
      <c r="B6" s="1">
        <v>5331.85</v>
      </c>
      <c r="C6" s="1">
        <v>6381.63</v>
      </c>
      <c r="D6" s="1">
        <v>6580</v>
      </c>
      <c r="E6" s="1">
        <v>6705.56</v>
      </c>
      <c r="F6" s="1">
        <v>6711.11</v>
      </c>
      <c r="G6" s="1">
        <v>6661.56</v>
      </c>
      <c r="H6" s="1">
        <v>6655.33</v>
      </c>
      <c r="I6" s="1">
        <v>6350.11</v>
      </c>
      <c r="J6" s="1">
        <v>6110.24</v>
      </c>
      <c r="K6" s="1">
        <v>6068.1</v>
      </c>
      <c r="L6" s="1">
        <v>6135.36</v>
      </c>
      <c r="M6" s="1">
        <v>6556.89</v>
      </c>
      <c r="N6" s="1">
        <v>6190</v>
      </c>
      <c r="O6" s="1">
        <v>5855.33</v>
      </c>
      <c r="P6" t="s">
        <v>19</v>
      </c>
      <c r="Q6" t="s">
        <v>18</v>
      </c>
      <c r="R6" s="1" t="s">
        <v>154</v>
      </c>
      <c r="S6" s="1">
        <f>IFERROR(AVERAGE(Wholesale[[#This Row],[‫دیسمبر‬‏]]:Wholesale[[#This Row],[‫اكتوبر‬‏]]),"")</f>
        <v>6665.5566666666673</v>
      </c>
      <c r="T6" s="1">
        <f>IFERROR(AVERAGE(Wholesale[[#This Row],[‫سبتمبر‬‏]]:Wholesale[[#This Row],[‫یولیو‬‏]]),"")</f>
        <v>6555.666666666667</v>
      </c>
      <c r="U6" s="1">
        <f>IFERROR(AVERAGE(Wholesale[[#This Row],[‫یونیو‬‏]]:Wholesale[[#This Row],[‫ابریل‬‏]]),"")</f>
        <v>6104.5666666666666</v>
      </c>
      <c r="V6" s="1">
        <f>IFERROR(AVERAGE(Wholesale[[#This Row],[‫مارس‬‏]]:Wholesale[[#This Row],[‫ینایر‬‏]]),"")</f>
        <v>6200.7400000000007</v>
      </c>
    </row>
    <row r="7" spans="1:22" x14ac:dyDescent="0.35">
      <c r="A7" s="1">
        <v>6.2</v>
      </c>
      <c r="B7" s="1">
        <v>5889.76</v>
      </c>
      <c r="C7" s="1">
        <v>6257.2</v>
      </c>
      <c r="D7" s="1">
        <v>6597.3</v>
      </c>
      <c r="E7" s="1">
        <v>6405.19</v>
      </c>
      <c r="F7" s="1">
        <v>6431.27</v>
      </c>
      <c r="G7" s="1">
        <v>6434.27</v>
      </c>
      <c r="H7" s="1">
        <v>6398.21</v>
      </c>
      <c r="I7" s="1">
        <v>6280.21</v>
      </c>
      <c r="J7" s="1">
        <v>6253.71</v>
      </c>
      <c r="K7" s="1">
        <v>6259.64</v>
      </c>
      <c r="L7" s="1">
        <v>6159.64</v>
      </c>
      <c r="M7" s="1">
        <v>6053.32</v>
      </c>
      <c r="N7" s="1">
        <v>5994.58</v>
      </c>
      <c r="O7" s="1">
        <v>5819.11</v>
      </c>
      <c r="P7" t="s">
        <v>19</v>
      </c>
      <c r="Q7" t="s">
        <v>20</v>
      </c>
      <c r="R7" s="1" t="s">
        <v>154</v>
      </c>
      <c r="S7" s="1">
        <f>IFERROR(AVERAGE(Wholesale[[#This Row],[‫دیسمبر‬‏]]:Wholesale[[#This Row],[‫اكتوبر‬‏]]),"")</f>
        <v>6477.920000000001</v>
      </c>
      <c r="T7" s="1">
        <f>IFERROR(AVERAGE(Wholesale[[#This Row],[‫سبتمبر‬‏]]:Wholesale[[#This Row],[‫یولیو‬‏]]),"")</f>
        <v>6370.8966666666665</v>
      </c>
      <c r="U7" s="1">
        <f>IFERROR(AVERAGE(Wholesale[[#This Row],[‫یونیو‬‏]]:Wholesale[[#This Row],[‫ابریل‬‏]]),"")</f>
        <v>6224.3300000000008</v>
      </c>
      <c r="V7" s="1">
        <f>IFERROR(AVERAGE(Wholesale[[#This Row],[‫مارس‬‏]]:Wholesale[[#This Row],[‫ینایر‬‏]]),"")</f>
        <v>5955.6699999999992</v>
      </c>
    </row>
    <row r="8" spans="1:22" x14ac:dyDescent="0.35">
      <c r="A8" s="1">
        <v>10.7</v>
      </c>
      <c r="B8" s="1">
        <v>8268.2099999999991</v>
      </c>
      <c r="C8" s="1">
        <v>9155.2999999999993</v>
      </c>
      <c r="D8" s="1">
        <v>9189</v>
      </c>
      <c r="E8" s="1">
        <v>9264.3700000000008</v>
      </c>
      <c r="F8" s="1">
        <v>9165.2999999999993</v>
      </c>
      <c r="G8" s="1">
        <v>9116.59</v>
      </c>
      <c r="H8" s="1">
        <v>9128.44</v>
      </c>
      <c r="I8" s="1">
        <v>9186.5</v>
      </c>
      <c r="J8" s="1">
        <v>9222.24</v>
      </c>
      <c r="K8" s="1">
        <v>9113.91</v>
      </c>
      <c r="L8" s="1">
        <v>9034.83</v>
      </c>
      <c r="M8" s="1">
        <v>9148.17</v>
      </c>
      <c r="N8" s="1">
        <v>9230.76</v>
      </c>
      <c r="O8" s="1">
        <v>9063.5400000000009</v>
      </c>
      <c r="P8" t="s">
        <v>22</v>
      </c>
      <c r="Q8" t="s">
        <v>21</v>
      </c>
      <c r="R8" s="1" t="s">
        <v>154</v>
      </c>
      <c r="S8" s="1">
        <f>IFERROR(AVERAGE(Wholesale[[#This Row],[‫دیسمبر‬‏]]:Wholesale[[#This Row],[‫اكتوبر‬‏]]),"")</f>
        <v>9206.2233333333334</v>
      </c>
      <c r="T8" s="1">
        <f>IFERROR(AVERAGE(Wholesale[[#This Row],[‫سبتمبر‬‏]]:Wholesale[[#This Row],[‫یولیو‬‏]]),"")</f>
        <v>9143.8433333333323</v>
      </c>
      <c r="U8" s="1">
        <f>IFERROR(AVERAGE(Wholesale[[#This Row],[‫یونیو‬‏]]:Wholesale[[#This Row],[‫ابریل‬‏]]),"")</f>
        <v>9123.6600000000017</v>
      </c>
      <c r="V8" s="1">
        <f>IFERROR(AVERAGE(Wholesale[[#This Row],[‫مارس‬‏]]:Wholesale[[#This Row],[‫ینایر‬‏]]),"")</f>
        <v>9147.49</v>
      </c>
    </row>
    <row r="9" spans="1:22" x14ac:dyDescent="0.35">
      <c r="A9" s="1">
        <v>-18.3</v>
      </c>
      <c r="B9" s="1">
        <v>75.5</v>
      </c>
      <c r="C9" s="1">
        <v>61.67</v>
      </c>
      <c r="D9" s="1">
        <v>60.44</v>
      </c>
      <c r="E9" s="1">
        <v>60.26</v>
      </c>
      <c r="F9" s="1">
        <v>60.83</v>
      </c>
      <c r="G9" s="1">
        <v>60.63</v>
      </c>
      <c r="H9" s="1">
        <v>60.46</v>
      </c>
      <c r="I9" s="1">
        <v>61.87</v>
      </c>
      <c r="J9" s="1">
        <v>60.66</v>
      </c>
      <c r="K9" s="1">
        <v>61.78</v>
      </c>
      <c r="L9" s="1">
        <v>62.37</v>
      </c>
      <c r="M9" s="1">
        <v>62.26</v>
      </c>
      <c r="N9" s="1">
        <v>63.61</v>
      </c>
      <c r="O9" s="1">
        <v>64.86</v>
      </c>
      <c r="P9" t="s">
        <v>25</v>
      </c>
      <c r="Q9" t="s">
        <v>24</v>
      </c>
      <c r="R9" s="1" t="s">
        <v>154</v>
      </c>
      <c r="S9" s="1">
        <f>IFERROR(AVERAGE(Wholesale[[#This Row],[‫دیسمبر‬‏]]:Wholesale[[#This Row],[‫اكتوبر‬‏]]),"")</f>
        <v>60.509999999999991</v>
      </c>
      <c r="T9" s="1">
        <f>IFERROR(AVERAGE(Wholesale[[#This Row],[‫سبتمبر‬‏]]:Wholesale[[#This Row],[‫یولیو‬‏]]),"")</f>
        <v>60.986666666666672</v>
      </c>
      <c r="U9" s="1">
        <f>IFERROR(AVERAGE(Wholesale[[#This Row],[‫یونیو‬‏]]:Wholesale[[#This Row],[‫ابریل‬‏]]),"")</f>
        <v>61.603333333333332</v>
      </c>
      <c r="V9" s="1">
        <f>IFERROR(AVERAGE(Wholesale[[#This Row],[‫مارس‬‏]]:Wholesale[[#This Row],[‫ینایر‬‏]]),"")</f>
        <v>63.576666666666675</v>
      </c>
    </row>
    <row r="10" spans="1:22" x14ac:dyDescent="0.35">
      <c r="A10" s="1">
        <v>-30.2</v>
      </c>
      <c r="B10" s="1">
        <v>74.290000000000006</v>
      </c>
      <c r="C10" s="1">
        <v>51.84</v>
      </c>
      <c r="D10" s="1">
        <v>50.06</v>
      </c>
      <c r="E10" s="1">
        <v>51.89</v>
      </c>
      <c r="F10" s="1">
        <v>51.92</v>
      </c>
      <c r="G10" s="1">
        <v>51.91</v>
      </c>
      <c r="H10" s="1">
        <v>51.96</v>
      </c>
      <c r="I10" s="1">
        <v>51.92</v>
      </c>
      <c r="J10" s="1">
        <v>51.97</v>
      </c>
      <c r="K10" s="1">
        <v>52.02</v>
      </c>
      <c r="L10" s="1">
        <v>52.07</v>
      </c>
      <c r="M10" s="1">
        <v>52.02</v>
      </c>
      <c r="N10" s="1">
        <v>52.15</v>
      </c>
      <c r="O10" s="1">
        <v>52.25</v>
      </c>
      <c r="P10" t="s">
        <v>25</v>
      </c>
      <c r="Q10" t="s">
        <v>28</v>
      </c>
      <c r="R10" s="1" t="s">
        <v>154</v>
      </c>
      <c r="S10" s="1">
        <f>IFERROR(AVERAGE(Wholesale[[#This Row],[‫دیسمبر‬‏]]:Wholesale[[#This Row],[‫اكتوبر‬‏]]),"")</f>
        <v>51.29</v>
      </c>
      <c r="T10" s="1">
        <f>IFERROR(AVERAGE(Wholesale[[#This Row],[‫سبتمبر‬‏]]:Wholesale[[#This Row],[‫یولیو‬‏]]),"")</f>
        <v>51.930000000000007</v>
      </c>
      <c r="U10" s="1">
        <f>IFERROR(AVERAGE(Wholesale[[#This Row],[‫یونیو‬‏]]:Wholesale[[#This Row],[‫ابریل‬‏]]),"")</f>
        <v>52.02</v>
      </c>
      <c r="V10" s="1">
        <f>IFERROR(AVERAGE(Wholesale[[#This Row],[‫مارس‬‏]]:Wholesale[[#This Row],[‫ینایر‬‏]]),"")</f>
        <v>52.140000000000008</v>
      </c>
    </row>
    <row r="11" spans="1:22" x14ac:dyDescent="0.35">
      <c r="A11" s="1">
        <v>5.8</v>
      </c>
      <c r="B11" s="1">
        <v>5547.39</v>
      </c>
      <c r="C11" s="1">
        <v>5870.23</v>
      </c>
      <c r="D11" s="1">
        <v>5653.47</v>
      </c>
      <c r="E11" s="1">
        <v>5812.64</v>
      </c>
      <c r="F11" s="1">
        <v>5750.69</v>
      </c>
      <c r="G11" s="1">
        <v>5913.19</v>
      </c>
      <c r="H11" s="1">
        <v>5913.19</v>
      </c>
      <c r="I11" s="1">
        <v>6004.58</v>
      </c>
      <c r="J11" s="1">
        <v>5780.42</v>
      </c>
      <c r="K11" s="1">
        <v>5744.31</v>
      </c>
      <c r="L11" s="1">
        <v>5815.14</v>
      </c>
      <c r="M11" s="1">
        <v>5745.14</v>
      </c>
      <c r="N11" s="1">
        <v>6203.48</v>
      </c>
      <c r="O11" s="1">
        <v>6106.52</v>
      </c>
      <c r="P11" t="s">
        <v>31</v>
      </c>
      <c r="Q11" t="s">
        <v>29</v>
      </c>
      <c r="R11" s="1" t="s">
        <v>154</v>
      </c>
      <c r="S11" s="1">
        <f>IFERROR(AVERAGE(Wholesale[[#This Row],[‫دیسمبر‬‏]]:Wholesale[[#This Row],[‫اكتوبر‬‏]]),"")</f>
        <v>5738.9333333333334</v>
      </c>
      <c r="T11" s="1">
        <f>IFERROR(AVERAGE(Wholesale[[#This Row],[‫سبتمبر‬‏]]:Wholesale[[#This Row],[‫یولیو‬‏]]),"")</f>
        <v>5943.6533333333327</v>
      </c>
      <c r="U11" s="1">
        <f>IFERROR(AVERAGE(Wholesale[[#This Row],[‫یونیو‬‏]]:Wholesale[[#This Row],[‫ابریل‬‏]]),"")</f>
        <v>5779.956666666666</v>
      </c>
      <c r="V11" s="1">
        <f>IFERROR(AVERAGE(Wholesale[[#This Row],[‫مارس‬‏]]:Wholesale[[#This Row],[‫ینایر‬‏]]),"")</f>
        <v>6018.38</v>
      </c>
    </row>
    <row r="12" spans="1:22" x14ac:dyDescent="0.35">
      <c r="A12" s="1">
        <v>11.6</v>
      </c>
      <c r="B12" s="1">
        <v>5374.01</v>
      </c>
      <c r="C12" s="1">
        <v>5995.66</v>
      </c>
      <c r="D12" s="1">
        <v>5945.97</v>
      </c>
      <c r="E12" s="1">
        <v>6064.55</v>
      </c>
      <c r="F12" s="1">
        <v>5683.06</v>
      </c>
      <c r="G12" s="1">
        <v>6042.67</v>
      </c>
      <c r="H12" s="1">
        <v>6070</v>
      </c>
      <c r="I12" s="1">
        <v>6018.03</v>
      </c>
      <c r="J12" s="1">
        <v>5981.11</v>
      </c>
      <c r="K12" s="1">
        <v>5986.67</v>
      </c>
      <c r="L12" s="1">
        <v>5982.5</v>
      </c>
      <c r="M12" s="1">
        <v>5940.28</v>
      </c>
      <c r="N12" s="1">
        <v>6099.17</v>
      </c>
      <c r="O12" s="1">
        <v>6133.89</v>
      </c>
      <c r="P12" t="s">
        <v>31</v>
      </c>
      <c r="Q12" t="s">
        <v>30</v>
      </c>
      <c r="R12" s="1" t="s">
        <v>154</v>
      </c>
      <c r="S12" s="1">
        <f>IFERROR(AVERAGE(Wholesale[[#This Row],[‫دیسمبر‬‏]]:Wholesale[[#This Row],[‫اكتوبر‬‏]]),"")</f>
        <v>5897.8600000000006</v>
      </c>
      <c r="T12" s="1">
        <f>IFERROR(AVERAGE(Wholesale[[#This Row],[‫سبتمبر‬‏]]:Wholesale[[#This Row],[‫یولیو‬‏]]),"")</f>
        <v>6043.5666666666666</v>
      </c>
      <c r="U12" s="1">
        <f>IFERROR(AVERAGE(Wholesale[[#This Row],[‫یونیو‬‏]]:Wholesale[[#This Row],[‫ابریل‬‏]]),"")</f>
        <v>5983.4266666666663</v>
      </c>
      <c r="V12" s="1">
        <f>IFERROR(AVERAGE(Wholesale[[#This Row],[‫مارس‬‏]]:Wholesale[[#This Row],[‫ینایر‬‏]]),"")</f>
        <v>6057.78</v>
      </c>
    </row>
    <row r="13" spans="1:22" x14ac:dyDescent="0.35">
      <c r="A13" s="1">
        <v>14.5</v>
      </c>
      <c r="B13" s="1">
        <v>2482.16</v>
      </c>
      <c r="C13" s="1">
        <v>2843.01</v>
      </c>
      <c r="D13" s="1">
        <v>2762.96</v>
      </c>
      <c r="E13" s="1">
        <v>2839.07</v>
      </c>
      <c r="F13" s="1">
        <v>3057.38</v>
      </c>
      <c r="G13" s="1">
        <v>2937.71</v>
      </c>
      <c r="H13" s="1">
        <v>2957.38</v>
      </c>
      <c r="I13" s="1">
        <v>2857.38</v>
      </c>
      <c r="J13" s="1">
        <v>2843.1</v>
      </c>
      <c r="K13" s="1">
        <v>2809.76</v>
      </c>
      <c r="L13" s="1">
        <v>2781.19</v>
      </c>
      <c r="M13" s="1">
        <v>2715.48</v>
      </c>
      <c r="N13" s="1">
        <v>2794.05</v>
      </c>
      <c r="O13" s="1">
        <v>2760.71</v>
      </c>
      <c r="P13" t="s">
        <v>33</v>
      </c>
      <c r="Q13" t="s">
        <v>32</v>
      </c>
      <c r="R13" s="1" t="s">
        <v>154</v>
      </c>
      <c r="S13" s="1">
        <f>IFERROR(AVERAGE(Wholesale[[#This Row],[‫دیسمبر‬‏]]:Wholesale[[#This Row],[‫اكتوبر‬‏]]),"")</f>
        <v>2886.47</v>
      </c>
      <c r="T13" s="1">
        <f>IFERROR(AVERAGE(Wholesale[[#This Row],[‫سبتمبر‬‏]]:Wholesale[[#This Row],[‫یولیو‬‏]]),"")</f>
        <v>2917.4900000000002</v>
      </c>
      <c r="U13" s="1">
        <f>IFERROR(AVERAGE(Wholesale[[#This Row],[‫یونیو‬‏]]:Wholesale[[#This Row],[‫ابریل‬‏]]),"")</f>
        <v>2811.3500000000004</v>
      </c>
      <c r="V13" s="1">
        <f>IFERROR(AVERAGE(Wholesale[[#This Row],[‫مارس‬‏]]:Wholesale[[#This Row],[‫ینایر‬‏]]),"")</f>
        <v>2756.7466666666674</v>
      </c>
    </row>
    <row r="14" spans="1:22" x14ac:dyDescent="0.35">
      <c r="A14" s="1">
        <v>-12.8</v>
      </c>
      <c r="B14" s="1">
        <v>10691.63</v>
      </c>
      <c r="C14" s="1">
        <v>9325.09</v>
      </c>
      <c r="D14" s="1">
        <v>9089.17</v>
      </c>
      <c r="E14" s="1">
        <v>9372.5</v>
      </c>
      <c r="F14" s="1">
        <v>9505.83</v>
      </c>
      <c r="G14" s="1">
        <v>9326.67</v>
      </c>
      <c r="H14" s="1">
        <v>9077.7800000000007</v>
      </c>
      <c r="I14" s="1">
        <v>8719.44</v>
      </c>
      <c r="J14" s="1">
        <v>8751.39</v>
      </c>
      <c r="K14" s="1">
        <v>8586.11</v>
      </c>
      <c r="L14" s="1">
        <v>9727.7800000000007</v>
      </c>
      <c r="M14" s="1">
        <v>9169.44</v>
      </c>
      <c r="N14" s="1">
        <v>10236.11</v>
      </c>
      <c r="O14" s="1">
        <v>10338.89</v>
      </c>
      <c r="P14" t="s">
        <v>14</v>
      </c>
      <c r="Q14" t="s">
        <v>34</v>
      </c>
      <c r="R14" s="1" t="s">
        <v>154</v>
      </c>
      <c r="S14" s="1">
        <f>IFERROR(AVERAGE(Wholesale[[#This Row],[‫دیسمبر‬‏]]:Wholesale[[#This Row],[‫اكتوبر‬‏]]),"")</f>
        <v>9322.5</v>
      </c>
      <c r="T14" s="1">
        <f>IFERROR(AVERAGE(Wholesale[[#This Row],[‫سبتمبر‬‏]]:Wholesale[[#This Row],[‫یولیو‬‏]]),"")</f>
        <v>9041.2966666666671</v>
      </c>
      <c r="U14" s="1">
        <f>IFERROR(AVERAGE(Wholesale[[#This Row],[‫یونیو‬‏]]:Wholesale[[#This Row],[‫ابریل‬‏]]),"")</f>
        <v>9021.76</v>
      </c>
      <c r="V14" s="1">
        <f>IFERROR(AVERAGE(Wholesale[[#This Row],[‫مارس‬‏]]:Wholesale[[#This Row],[‫ینایر‬‏]]),"")</f>
        <v>9914.8133333333335</v>
      </c>
    </row>
    <row r="15" spans="1:22" x14ac:dyDescent="0.35">
      <c r="A15" s="1">
        <v>30.1</v>
      </c>
      <c r="B15" s="1">
        <v>2758.33</v>
      </c>
      <c r="C15" s="1">
        <v>3587.5</v>
      </c>
      <c r="D15" s="1">
        <v>3850</v>
      </c>
      <c r="E15" s="1">
        <v>3850</v>
      </c>
      <c r="F15" s="1">
        <v>3750</v>
      </c>
      <c r="G15" s="1">
        <v>3700</v>
      </c>
      <c r="H15" s="1">
        <v>3700</v>
      </c>
      <c r="I15" s="1">
        <v>3700</v>
      </c>
      <c r="J15" s="1">
        <v>3500</v>
      </c>
      <c r="K15" s="1">
        <v>3400</v>
      </c>
      <c r="L15" s="1">
        <v>3400</v>
      </c>
      <c r="M15" s="1">
        <v>3400</v>
      </c>
      <c r="N15" s="1">
        <v>3400</v>
      </c>
      <c r="O15" s="1">
        <v>3400</v>
      </c>
      <c r="P15" t="s">
        <v>14</v>
      </c>
      <c r="Q15" t="s">
        <v>35</v>
      </c>
      <c r="R15" s="1" t="s">
        <v>154</v>
      </c>
      <c r="S15" s="1">
        <f>IFERROR(AVERAGE(Wholesale[[#This Row],[‫دیسمبر‬‏]]:Wholesale[[#This Row],[‫اكتوبر‬‏]]),"")</f>
        <v>3816.6666666666665</v>
      </c>
      <c r="T15" s="1">
        <f>IFERROR(AVERAGE(Wholesale[[#This Row],[‫سبتمبر‬‏]]:Wholesale[[#This Row],[‫یولیو‬‏]]),"")</f>
        <v>3700</v>
      </c>
      <c r="U15" s="1">
        <f>IFERROR(AVERAGE(Wholesale[[#This Row],[‫یونیو‬‏]]:Wholesale[[#This Row],[‫ابریل‬‏]]),"")</f>
        <v>3433.3333333333335</v>
      </c>
      <c r="V15" s="1">
        <f>IFERROR(AVERAGE(Wholesale[[#This Row],[‫مارس‬‏]]:Wholesale[[#This Row],[‫ینایر‬‏]]),"")</f>
        <v>3400</v>
      </c>
    </row>
    <row r="16" spans="1:22" x14ac:dyDescent="0.35">
      <c r="A16" s="1">
        <v>-4.3</v>
      </c>
      <c r="B16" s="1">
        <v>88455.56</v>
      </c>
      <c r="C16" s="1">
        <v>84647.22</v>
      </c>
      <c r="D16" s="1">
        <v>79775</v>
      </c>
      <c r="E16" s="1">
        <v>84775</v>
      </c>
      <c r="F16" s="1">
        <v>84775</v>
      </c>
      <c r="G16" s="1">
        <v>84775</v>
      </c>
      <c r="H16" s="1">
        <v>85000</v>
      </c>
      <c r="I16" s="1">
        <v>85000</v>
      </c>
      <c r="J16" s="1">
        <v>85000</v>
      </c>
      <c r="K16" s="1">
        <v>85000</v>
      </c>
      <c r="L16" s="1">
        <v>85000</v>
      </c>
      <c r="M16" s="1">
        <v>82500</v>
      </c>
      <c r="N16" s="1">
        <v>87500</v>
      </c>
      <c r="O16" s="1">
        <v>86666.67</v>
      </c>
      <c r="P16" t="s">
        <v>14</v>
      </c>
      <c r="Q16" t="s">
        <v>157</v>
      </c>
      <c r="R16" s="1" t="s">
        <v>154</v>
      </c>
      <c r="S16" s="1">
        <f>IFERROR(AVERAGE(Wholesale[[#This Row],[‫دیسمبر‬‏]]:Wholesale[[#This Row],[‫اكتوبر‬‏]]),"")</f>
        <v>83108.333333333328</v>
      </c>
      <c r="T16" s="1">
        <f>IFERROR(AVERAGE(Wholesale[[#This Row],[‫سبتمبر‬‏]]:Wholesale[[#This Row],[‫یولیو‬‏]]),"")</f>
        <v>84925</v>
      </c>
      <c r="U16" s="1">
        <f>IFERROR(AVERAGE(Wholesale[[#This Row],[‫یونیو‬‏]]:Wholesale[[#This Row],[‫ابریل‬‏]]),"")</f>
        <v>85000</v>
      </c>
      <c r="V16" s="1">
        <f>IFERROR(AVERAGE(Wholesale[[#This Row],[‫مارس‬‏]]:Wholesale[[#This Row],[‫ینایر‬‏]]),"")</f>
        <v>85555.556666666656</v>
      </c>
    </row>
    <row r="17" spans="1:22" x14ac:dyDescent="0.35">
      <c r="A17" s="1">
        <v>5.6</v>
      </c>
      <c r="B17" s="1">
        <v>20120.349999999999</v>
      </c>
      <c r="C17" s="1">
        <v>21250</v>
      </c>
      <c r="D17" s="1">
        <v>22516.67</v>
      </c>
      <c r="E17" s="1">
        <v>21145.83</v>
      </c>
      <c r="F17" s="1">
        <v>18845.830000000002</v>
      </c>
      <c r="G17" s="1">
        <v>21078.33</v>
      </c>
      <c r="H17" s="1">
        <v>21078.33</v>
      </c>
      <c r="I17" s="1">
        <v>21078.33</v>
      </c>
      <c r="J17" s="1">
        <v>21070.83</v>
      </c>
      <c r="K17" s="1">
        <v>21070.83</v>
      </c>
      <c r="L17" s="1">
        <v>21070.83</v>
      </c>
      <c r="M17" s="1">
        <v>21070.83</v>
      </c>
      <c r="N17" s="1">
        <v>27856.67</v>
      </c>
      <c r="O17" s="1">
        <v>17116.669999999998</v>
      </c>
      <c r="P17" t="s">
        <v>14</v>
      </c>
      <c r="Q17" t="s">
        <v>158</v>
      </c>
      <c r="R17" s="1" t="s">
        <v>154</v>
      </c>
      <c r="S17" s="1">
        <f>IFERROR(AVERAGE(Wholesale[[#This Row],[‫دیسمبر‬‏]]:Wholesale[[#This Row],[‫اكتوبر‬‏]]),"")</f>
        <v>20836.11</v>
      </c>
      <c r="T17" s="1">
        <f>IFERROR(AVERAGE(Wholesale[[#This Row],[‫سبتمبر‬‏]]:Wholesale[[#This Row],[‫یولیو‬‏]]),"")</f>
        <v>21078.33</v>
      </c>
      <c r="U17" s="1">
        <f>IFERROR(AVERAGE(Wholesale[[#This Row],[‫یونیو‬‏]]:Wholesale[[#This Row],[‫ابریل‬‏]]),"")</f>
        <v>21070.83</v>
      </c>
      <c r="V17" s="1">
        <f>IFERROR(AVERAGE(Wholesale[[#This Row],[‫مارس‬‏]]:Wholesale[[#This Row],[‫ینایر‬‏]]),"")</f>
        <v>22014.723333333332</v>
      </c>
    </row>
    <row r="18" spans="1:22" x14ac:dyDescent="0.35">
      <c r="A18" s="1">
        <v>9.3000000000000007</v>
      </c>
      <c r="B18" s="1">
        <v>4673.87</v>
      </c>
      <c r="C18" s="1">
        <v>5109.66</v>
      </c>
      <c r="D18" s="1">
        <v>5070.5600000000004</v>
      </c>
      <c r="E18" s="1">
        <v>5070.5600000000004</v>
      </c>
      <c r="F18" s="1">
        <v>5070.5600000000004</v>
      </c>
      <c r="G18" s="1">
        <v>5062.22</v>
      </c>
      <c r="H18" s="1">
        <v>5031.67</v>
      </c>
      <c r="I18" s="1">
        <v>5424.05</v>
      </c>
      <c r="J18" s="1">
        <v>5417.14</v>
      </c>
      <c r="K18" s="1">
        <v>5413.57</v>
      </c>
      <c r="L18" s="1">
        <v>5413.57</v>
      </c>
      <c r="M18" s="1">
        <v>4899.38</v>
      </c>
      <c r="N18" s="1">
        <v>4760</v>
      </c>
      <c r="O18" s="1">
        <v>4682.71</v>
      </c>
      <c r="P18" t="s">
        <v>159</v>
      </c>
      <c r="Q18" t="s">
        <v>160</v>
      </c>
      <c r="R18" s="1" t="s">
        <v>154</v>
      </c>
      <c r="S18" s="1">
        <f>IFERROR(AVERAGE(Wholesale[[#This Row],[‫دیسمبر‬‏]]:Wholesale[[#This Row],[‫اكتوبر‬‏]]),"")</f>
        <v>5070.5600000000004</v>
      </c>
      <c r="T18" s="1">
        <f>IFERROR(AVERAGE(Wholesale[[#This Row],[‫سبتمبر‬‏]]:Wholesale[[#This Row],[‫یولیو‬‏]]),"")</f>
        <v>5172.6466666666665</v>
      </c>
      <c r="U18" s="1">
        <f>IFERROR(AVERAGE(Wholesale[[#This Row],[‫یونیو‬‏]]:Wholesale[[#This Row],[‫ابریل‬‏]]),"")</f>
        <v>5414.7599999999993</v>
      </c>
      <c r="V18" s="1">
        <f>IFERROR(AVERAGE(Wholesale[[#This Row],[‫مارس‬‏]]:Wholesale[[#This Row],[‫ینایر‬‏]]),"")</f>
        <v>4780.6966666666667</v>
      </c>
    </row>
    <row r="19" spans="1:22" x14ac:dyDescent="0.35">
      <c r="A19" s="1">
        <v>1.7</v>
      </c>
      <c r="B19" s="1">
        <v>11063.49</v>
      </c>
      <c r="C19" s="1">
        <v>11246.73</v>
      </c>
      <c r="D19" s="1">
        <v>10512.5</v>
      </c>
      <c r="E19" s="1">
        <v>10512.5</v>
      </c>
      <c r="F19" s="1">
        <v>11151.43</v>
      </c>
      <c r="G19" s="1">
        <v>11142.86</v>
      </c>
      <c r="H19" s="1">
        <v>11142.86</v>
      </c>
      <c r="I19" s="1">
        <v>11672.86</v>
      </c>
      <c r="J19" s="1">
        <v>11387.14</v>
      </c>
      <c r="K19" s="1">
        <v>11372.86</v>
      </c>
      <c r="L19" s="1">
        <v>11594.29</v>
      </c>
      <c r="M19" s="1">
        <v>11614.29</v>
      </c>
      <c r="N19" s="1">
        <v>11661.9</v>
      </c>
      <c r="O19" s="1">
        <v>11195.24</v>
      </c>
      <c r="P19" t="s">
        <v>161</v>
      </c>
      <c r="Q19" t="s">
        <v>40</v>
      </c>
      <c r="R19" s="1" t="s">
        <v>154</v>
      </c>
      <c r="S19" s="1">
        <f>IFERROR(AVERAGE(Wholesale[[#This Row],[‫دیسمبر‬‏]]:Wholesale[[#This Row],[‫اكتوبر‬‏]]),"")</f>
        <v>10725.476666666667</v>
      </c>
      <c r="T19" s="1">
        <f>IFERROR(AVERAGE(Wholesale[[#This Row],[‫سبتمبر‬‏]]:Wholesale[[#This Row],[‫یولیو‬‏]]),"")</f>
        <v>11319.526666666667</v>
      </c>
      <c r="U19" s="1">
        <f>IFERROR(AVERAGE(Wholesale[[#This Row],[‫یونیو‬‏]]:Wholesale[[#This Row],[‫ابریل‬‏]]),"")</f>
        <v>11451.43</v>
      </c>
      <c r="V19" s="1">
        <f>IFERROR(AVERAGE(Wholesale[[#This Row],[‫مارس‬‏]]:Wholesale[[#This Row],[‫ینایر‬‏]]),"")</f>
        <v>11490.476666666667</v>
      </c>
    </row>
    <row r="20" spans="1:22" x14ac:dyDescent="0.35">
      <c r="A20" s="1">
        <v>-7</v>
      </c>
      <c r="B20" s="1">
        <v>55.37</v>
      </c>
      <c r="C20" s="1">
        <v>51.5</v>
      </c>
      <c r="D20" s="1">
        <v>56.51</v>
      </c>
      <c r="E20" s="1">
        <v>57.66</v>
      </c>
      <c r="F20" s="1">
        <v>60.17</v>
      </c>
      <c r="G20" s="1">
        <v>55.83</v>
      </c>
      <c r="H20" s="1">
        <v>50.83</v>
      </c>
      <c r="I20" s="1">
        <v>49.43</v>
      </c>
      <c r="J20" s="1">
        <v>35.78</v>
      </c>
      <c r="K20" s="1">
        <v>35.85</v>
      </c>
      <c r="L20" s="1">
        <v>30.28</v>
      </c>
      <c r="M20" s="1">
        <v>34.43</v>
      </c>
      <c r="N20" s="1">
        <v>72.16</v>
      </c>
      <c r="O20" s="1">
        <v>79.05</v>
      </c>
      <c r="P20" t="s">
        <v>25</v>
      </c>
      <c r="Q20" t="s">
        <v>41</v>
      </c>
      <c r="R20" s="1" t="s">
        <v>154</v>
      </c>
      <c r="S20" s="1">
        <f>IFERROR(AVERAGE(Wholesale[[#This Row],[‫دیسمبر‬‏]]:Wholesale[[#This Row],[‫اكتوبر‬‏]]),"")</f>
        <v>58.113333333333323</v>
      </c>
      <c r="T20" s="1">
        <f>IFERROR(AVERAGE(Wholesale[[#This Row],[‫سبتمبر‬‏]]:Wholesale[[#This Row],[‫یولیو‬‏]]),"")</f>
        <v>52.03</v>
      </c>
      <c r="U20" s="1">
        <f>IFERROR(AVERAGE(Wholesale[[#This Row],[‫یونیو‬‏]]:Wholesale[[#This Row],[‫ابریل‬‏]]),"")</f>
        <v>33.97</v>
      </c>
      <c r="V20" s="1">
        <f>IFERROR(AVERAGE(Wholesale[[#This Row],[‫مارس‬‏]]:Wholesale[[#This Row],[‫ینایر‬‏]]),"")</f>
        <v>61.879999999999995</v>
      </c>
    </row>
    <row r="21" spans="1:22" x14ac:dyDescent="0.35">
      <c r="A21" s="1">
        <v>-37.700000000000003</v>
      </c>
      <c r="B21" s="1">
        <v>13.08</v>
      </c>
      <c r="C21" s="1">
        <v>8.15</v>
      </c>
      <c r="D21" s="1">
        <v>8.81</v>
      </c>
      <c r="E21" s="1">
        <v>8.56</v>
      </c>
      <c r="F21" s="1">
        <v>9.2200000000000006</v>
      </c>
      <c r="G21" s="1">
        <v>8.76</v>
      </c>
      <c r="H21" s="1">
        <v>8.77</v>
      </c>
      <c r="I21" s="1">
        <v>7.31</v>
      </c>
      <c r="J21" s="1">
        <v>7.01</v>
      </c>
      <c r="K21" s="1">
        <v>7.48</v>
      </c>
      <c r="L21" s="1">
        <v>7.31</v>
      </c>
      <c r="M21" s="1">
        <v>6.89</v>
      </c>
      <c r="N21" s="1">
        <v>8.39</v>
      </c>
      <c r="O21" s="1">
        <v>9.32</v>
      </c>
      <c r="P21" t="s">
        <v>25</v>
      </c>
      <c r="Q21" t="s">
        <v>42</v>
      </c>
      <c r="R21" s="1" t="s">
        <v>154</v>
      </c>
      <c r="S21" s="1">
        <f>IFERROR(AVERAGE(Wholesale[[#This Row],[‫دیسمبر‬‏]]:Wholesale[[#This Row],[‫اكتوبر‬‏]]),"")</f>
        <v>8.8633333333333351</v>
      </c>
      <c r="T21" s="1">
        <f>IFERROR(AVERAGE(Wholesale[[#This Row],[‫سبتمبر‬‏]]:Wholesale[[#This Row],[‫یولیو‬‏]]),"")</f>
        <v>8.2799999999999994</v>
      </c>
      <c r="U21" s="1">
        <f>IFERROR(AVERAGE(Wholesale[[#This Row],[‫یونیو‬‏]]:Wholesale[[#This Row],[‫ابریل‬‏]]),"")</f>
        <v>7.2666666666666666</v>
      </c>
      <c r="V21" s="1">
        <f>IFERROR(AVERAGE(Wholesale[[#This Row],[‫مارس‬‏]]:Wholesale[[#This Row],[‫ینایر‬‏]]),"")</f>
        <v>8.2000000000000011</v>
      </c>
    </row>
    <row r="22" spans="1:22" x14ac:dyDescent="0.35">
      <c r="A22" s="1">
        <v>-30.3</v>
      </c>
      <c r="B22" s="1">
        <v>9.2899999999999991</v>
      </c>
      <c r="C22" s="1">
        <v>6.48</v>
      </c>
      <c r="D22" s="1">
        <v>6.69</v>
      </c>
      <c r="E22" s="1">
        <v>7.79</v>
      </c>
      <c r="F22" s="1">
        <v>8.5399999999999991</v>
      </c>
      <c r="G22" s="1">
        <v>8.42</v>
      </c>
      <c r="H22" s="1">
        <v>5.68</v>
      </c>
      <c r="I22" s="1">
        <v>6.16</v>
      </c>
      <c r="J22" s="1">
        <v>7.52</v>
      </c>
      <c r="K22" s="1">
        <v>7.32</v>
      </c>
      <c r="L22" s="1">
        <v>5.82</v>
      </c>
      <c r="M22" s="1">
        <v>3.81</v>
      </c>
      <c r="N22" s="1">
        <v>3.93</v>
      </c>
      <c r="O22" s="1">
        <v>6.04</v>
      </c>
      <c r="P22" t="s">
        <v>25</v>
      </c>
      <c r="Q22" t="s">
        <v>43</v>
      </c>
      <c r="R22" s="1" t="s">
        <v>154</v>
      </c>
      <c r="S22" s="1">
        <f>IFERROR(AVERAGE(Wholesale[[#This Row],[‫دیسمبر‬‏]]:Wholesale[[#This Row],[‫اكتوبر‬‏]]),"")</f>
        <v>7.6733333333333329</v>
      </c>
      <c r="T22" s="1">
        <f>IFERROR(AVERAGE(Wholesale[[#This Row],[‫سبتمبر‬‏]]:Wholesale[[#This Row],[‫یولیو‬‏]]),"")</f>
        <v>6.753333333333333</v>
      </c>
      <c r="U22" s="1">
        <f>IFERROR(AVERAGE(Wholesale[[#This Row],[‫یونیو‬‏]]:Wholesale[[#This Row],[‫ابریل‬‏]]),"")</f>
        <v>6.8866666666666667</v>
      </c>
      <c r="V22" s="1">
        <f>IFERROR(AVERAGE(Wholesale[[#This Row],[‫مارس‬‏]]:Wholesale[[#This Row],[‫ینایر‬‏]]),"")</f>
        <v>4.5933333333333337</v>
      </c>
    </row>
    <row r="23" spans="1:22" x14ac:dyDescent="0.35">
      <c r="A23" s="1">
        <v>3.2</v>
      </c>
      <c r="B23" s="1">
        <v>12.33</v>
      </c>
      <c r="C23" s="1">
        <v>12.72</v>
      </c>
      <c r="D23" s="1">
        <v>14.39</v>
      </c>
      <c r="E23" s="1">
        <v>12.42</v>
      </c>
      <c r="F23" s="1">
        <v>15.15</v>
      </c>
      <c r="G23" s="1">
        <v>17.62</v>
      </c>
      <c r="H23" s="1">
        <v>15.89</v>
      </c>
      <c r="I23" s="1">
        <v>10.98</v>
      </c>
      <c r="J23" s="1">
        <v>10.86</v>
      </c>
      <c r="K23" s="1">
        <v>10.67</v>
      </c>
      <c r="L23" s="1">
        <v>10.89</v>
      </c>
      <c r="M23" s="1">
        <v>12.23</v>
      </c>
      <c r="N23" s="1">
        <v>9.92</v>
      </c>
      <c r="O23" s="1">
        <v>11.62</v>
      </c>
      <c r="P23" t="s">
        <v>25</v>
      </c>
      <c r="Q23" t="s">
        <v>44</v>
      </c>
      <c r="R23" s="1" t="s">
        <v>154</v>
      </c>
      <c r="S23" s="1">
        <f>IFERROR(AVERAGE(Wholesale[[#This Row],[‫دیسمبر‬‏]]:Wholesale[[#This Row],[‫اكتوبر‬‏]]),"")</f>
        <v>13.986666666666666</v>
      </c>
      <c r="T23" s="1">
        <f>IFERROR(AVERAGE(Wholesale[[#This Row],[‫سبتمبر‬‏]]:Wholesale[[#This Row],[‫یولیو‬‏]]),"")</f>
        <v>14.830000000000004</v>
      </c>
      <c r="U23" s="1">
        <f>IFERROR(AVERAGE(Wholesale[[#This Row],[‫یونیو‬‏]]:Wholesale[[#This Row],[‫ابریل‬‏]]),"")</f>
        <v>10.806666666666667</v>
      </c>
      <c r="V23" s="1">
        <f>IFERROR(AVERAGE(Wholesale[[#This Row],[‫مارس‬‏]]:Wholesale[[#This Row],[‫ینایر‬‏]]),"")</f>
        <v>11.256666666666666</v>
      </c>
    </row>
    <row r="24" spans="1:22" x14ac:dyDescent="0.35">
      <c r="A24" s="1">
        <v>-66.2</v>
      </c>
      <c r="B24" s="1">
        <v>22.91</v>
      </c>
      <c r="C24" s="1">
        <v>7.74</v>
      </c>
      <c r="D24" s="1">
        <v>7.33</v>
      </c>
      <c r="E24" s="1">
        <v>10</v>
      </c>
      <c r="F24" s="1">
        <v>10</v>
      </c>
      <c r="G24" s="1">
        <v>6.5</v>
      </c>
      <c r="H24" s="1">
        <v>6.25</v>
      </c>
      <c r="I24" s="1">
        <v>7</v>
      </c>
      <c r="J24" s="1">
        <v>9.5</v>
      </c>
      <c r="K24" s="1">
        <v>6.83</v>
      </c>
      <c r="L24" s="1">
        <v>7.5</v>
      </c>
      <c r="M24" s="1">
        <v>7.42</v>
      </c>
      <c r="N24" s="1">
        <v>7.39</v>
      </c>
      <c r="O24" s="1">
        <v>7.22</v>
      </c>
      <c r="P24" t="s">
        <v>14</v>
      </c>
      <c r="Q24" t="s">
        <v>45</v>
      </c>
      <c r="R24" s="1" t="s">
        <v>154</v>
      </c>
      <c r="S24" s="1">
        <f>IFERROR(AVERAGE(Wholesale[[#This Row],[‫دیسمبر‬‏]]:Wholesale[[#This Row],[‫اكتوبر‬‏]]),"")</f>
        <v>9.11</v>
      </c>
      <c r="T24" s="1">
        <f>IFERROR(AVERAGE(Wholesale[[#This Row],[‫سبتمبر‬‏]]:Wholesale[[#This Row],[‫یولیو‬‏]]),"")</f>
        <v>6.583333333333333</v>
      </c>
      <c r="U24" s="1">
        <f>IFERROR(AVERAGE(Wholesale[[#This Row],[‫یونیو‬‏]]:Wholesale[[#This Row],[‫ابریل‬‏]]),"")</f>
        <v>7.9433333333333325</v>
      </c>
      <c r="V24" s="1">
        <f>IFERROR(AVERAGE(Wholesale[[#This Row],[‫مارس‬‏]]:Wholesale[[#This Row],[‫ینایر‬‏]]),"")</f>
        <v>7.3433333333333328</v>
      </c>
    </row>
    <row r="25" spans="1:22" x14ac:dyDescent="0.35">
      <c r="A25" s="1">
        <v>70.099999999999994</v>
      </c>
      <c r="B25" s="1">
        <v>14.66</v>
      </c>
      <c r="C25" s="1">
        <v>24.94</v>
      </c>
      <c r="D25" s="1">
        <v>25.97</v>
      </c>
      <c r="E25" s="1">
        <v>28.31</v>
      </c>
      <c r="F25" s="1">
        <v>28.19</v>
      </c>
      <c r="G25" s="1">
        <v>28.03</v>
      </c>
      <c r="H25" s="1">
        <v>28.03</v>
      </c>
      <c r="I25" s="1">
        <v>26.53</v>
      </c>
      <c r="J25" s="1">
        <v>27.14</v>
      </c>
      <c r="K25" s="1">
        <v>26.31</v>
      </c>
      <c r="L25" s="1">
        <v>24</v>
      </c>
      <c r="M25" s="1">
        <v>19.420000000000002</v>
      </c>
      <c r="N25" s="1">
        <v>19.02</v>
      </c>
      <c r="O25" s="1">
        <v>18.329999999999998</v>
      </c>
      <c r="P25" t="s">
        <v>25</v>
      </c>
      <c r="Q25" t="s">
        <v>46</v>
      </c>
      <c r="R25" s="1" t="s">
        <v>154</v>
      </c>
      <c r="S25" s="1">
        <f>IFERROR(AVERAGE(Wholesale[[#This Row],[‫دیسمبر‬‏]]:Wholesale[[#This Row],[‫اكتوبر‬‏]]),"")</f>
        <v>27.49</v>
      </c>
      <c r="T25" s="1">
        <f>IFERROR(AVERAGE(Wholesale[[#This Row],[‫سبتمبر‬‏]]:Wholesale[[#This Row],[‫یولیو‬‏]]),"")</f>
        <v>27.53</v>
      </c>
      <c r="U25" s="1">
        <f>IFERROR(AVERAGE(Wholesale[[#This Row],[‫یونیو‬‏]]:Wholesale[[#This Row],[‫ابریل‬‏]]),"")</f>
        <v>25.816666666666666</v>
      </c>
      <c r="V25" s="1">
        <f>IFERROR(AVERAGE(Wholesale[[#This Row],[‫مارس‬‏]]:Wholesale[[#This Row],[‫ینایر‬‏]]),"")</f>
        <v>18.923333333333332</v>
      </c>
    </row>
    <row r="26" spans="1:22" x14ac:dyDescent="0.35">
      <c r="A26" s="1">
        <v>71.900000000000006</v>
      </c>
      <c r="B26" s="1">
        <v>13.64</v>
      </c>
      <c r="C26" s="1">
        <v>23.44</v>
      </c>
      <c r="D26" s="1">
        <v>22.86</v>
      </c>
      <c r="E26" s="1">
        <v>25.95</v>
      </c>
      <c r="F26" s="1">
        <v>26.4</v>
      </c>
      <c r="G26" s="1">
        <v>26.44</v>
      </c>
      <c r="H26" s="1">
        <v>26.4</v>
      </c>
      <c r="I26" s="1">
        <v>25.79</v>
      </c>
      <c r="J26" s="1">
        <v>26.07</v>
      </c>
      <c r="K26" s="1">
        <v>25.34</v>
      </c>
      <c r="L26" s="1">
        <v>23.45</v>
      </c>
      <c r="M26" s="1">
        <v>19.39</v>
      </c>
      <c r="N26" s="1">
        <v>16.690000000000001</v>
      </c>
      <c r="O26" s="1">
        <v>16.46</v>
      </c>
      <c r="P26" t="s">
        <v>25</v>
      </c>
      <c r="Q26" t="s">
        <v>162</v>
      </c>
      <c r="R26" s="1" t="s">
        <v>154</v>
      </c>
      <c r="S26" s="1">
        <f>IFERROR(AVERAGE(Wholesale[[#This Row],[‫دیسمبر‬‏]]:Wholesale[[#This Row],[‫اكتوبر‬‏]]),"")</f>
        <v>25.070000000000004</v>
      </c>
      <c r="T26" s="1">
        <f>IFERROR(AVERAGE(Wholesale[[#This Row],[‫سبتمبر‬‏]]:Wholesale[[#This Row],[‫یولیو‬‏]]),"")</f>
        <v>26.209999999999997</v>
      </c>
      <c r="U26" s="1">
        <f>IFERROR(AVERAGE(Wholesale[[#This Row],[‫یونیو‬‏]]:Wholesale[[#This Row],[‫ابریل‬‏]]),"")</f>
        <v>24.953333333333333</v>
      </c>
      <c r="V26" s="1">
        <f>IFERROR(AVERAGE(Wholesale[[#This Row],[‫مارس‬‏]]:Wholesale[[#This Row],[‫ینایر‬‏]]),"")</f>
        <v>17.513333333333332</v>
      </c>
    </row>
    <row r="27" spans="1:22" x14ac:dyDescent="0.35">
      <c r="A27" s="1">
        <v>171.5</v>
      </c>
      <c r="B27" s="1">
        <v>24.41</v>
      </c>
      <c r="C27" s="1">
        <v>66.27</v>
      </c>
      <c r="D27" s="1">
        <v>50.01</v>
      </c>
      <c r="E27" s="1">
        <v>39.81</v>
      </c>
      <c r="F27" s="1">
        <v>38.42</v>
      </c>
      <c r="G27" s="1">
        <v>42.17</v>
      </c>
      <c r="H27" s="1">
        <v>46.44</v>
      </c>
      <c r="I27" s="1">
        <v>58.78</v>
      </c>
      <c r="J27" s="1">
        <v>96.75</v>
      </c>
      <c r="K27" s="1">
        <v>106.16</v>
      </c>
      <c r="L27" s="1">
        <v>107.58</v>
      </c>
      <c r="M27" s="1">
        <v>90.11</v>
      </c>
      <c r="N27" s="1">
        <v>62.94</v>
      </c>
      <c r="O27" s="1">
        <v>56.1</v>
      </c>
      <c r="P27" t="s">
        <v>49</v>
      </c>
      <c r="Q27" t="s">
        <v>48</v>
      </c>
      <c r="R27" s="1" t="s">
        <v>154</v>
      </c>
      <c r="S27" s="1">
        <f>IFERROR(AVERAGE(Wholesale[[#This Row],[‫دیسمبر‬‏]]:Wholesale[[#This Row],[‫اكتوبر‬‏]]),"")</f>
        <v>42.74666666666667</v>
      </c>
      <c r="T27" s="1">
        <f>IFERROR(AVERAGE(Wholesale[[#This Row],[‫سبتمبر‬‏]]:Wholesale[[#This Row],[‫یولیو‬‏]]),"")</f>
        <v>49.129999999999995</v>
      </c>
      <c r="U27" s="1">
        <f>IFERROR(AVERAGE(Wholesale[[#This Row],[‫یونیو‬‏]]:Wholesale[[#This Row],[‫ابریل‬‏]]),"")</f>
        <v>103.49666666666667</v>
      </c>
      <c r="V27" s="1">
        <f>IFERROR(AVERAGE(Wholesale[[#This Row],[‫مارس‬‏]]:Wholesale[[#This Row],[‫ینایر‬‏]]),"")</f>
        <v>69.716666666666669</v>
      </c>
    </row>
    <row r="28" spans="1:22" x14ac:dyDescent="0.35">
      <c r="A28" s="1">
        <v>54</v>
      </c>
      <c r="B28" s="1">
        <v>31.35</v>
      </c>
      <c r="C28" s="1">
        <v>48.29</v>
      </c>
      <c r="D28" s="1">
        <v>47.17</v>
      </c>
      <c r="E28" s="1">
        <v>44.17</v>
      </c>
      <c r="F28" s="1">
        <v>44.17</v>
      </c>
      <c r="G28" s="1">
        <v>38.25</v>
      </c>
      <c r="H28" s="1">
        <v>36.74</v>
      </c>
      <c r="I28" s="1">
        <v>34.97</v>
      </c>
      <c r="J28" s="1">
        <v>36.479999999999997</v>
      </c>
      <c r="K28" s="1">
        <v>56.67</v>
      </c>
      <c r="L28" s="1">
        <v>63.33</v>
      </c>
      <c r="M28" s="1">
        <v>65.33</v>
      </c>
      <c r="N28" s="1">
        <v>61.67</v>
      </c>
      <c r="O28" s="1">
        <v>50.56</v>
      </c>
      <c r="P28" t="s">
        <v>25</v>
      </c>
      <c r="Q28" t="s">
        <v>50</v>
      </c>
      <c r="R28" s="1" t="s">
        <v>154</v>
      </c>
      <c r="S28" s="1">
        <f>IFERROR(AVERAGE(Wholesale[[#This Row],[‫دیسمبر‬‏]]:Wholesale[[#This Row],[‫اكتوبر‬‏]]),"")</f>
        <v>45.169999999999995</v>
      </c>
      <c r="T28" s="1">
        <f>IFERROR(AVERAGE(Wholesale[[#This Row],[‫سبتمبر‬‏]]:Wholesale[[#This Row],[‫یولیو‬‏]]),"")</f>
        <v>36.653333333333336</v>
      </c>
      <c r="U28" s="1">
        <f>IFERROR(AVERAGE(Wholesale[[#This Row],[‫یونیو‬‏]]:Wholesale[[#This Row],[‫ابریل‬‏]]),"")</f>
        <v>52.160000000000004</v>
      </c>
      <c r="V28" s="1">
        <f>IFERROR(AVERAGE(Wholesale[[#This Row],[‫مارس‬‏]]:Wholesale[[#This Row],[‫ینایر‬‏]]),"")</f>
        <v>59.186666666666667</v>
      </c>
    </row>
    <row r="29" spans="1:22" x14ac:dyDescent="0.35">
      <c r="A29" s="1">
        <v>1.17</v>
      </c>
      <c r="B29" s="1">
        <v>29.6</v>
      </c>
      <c r="C29" s="1">
        <v>29.95</v>
      </c>
      <c r="D29" s="1">
        <v>30.5</v>
      </c>
      <c r="E29" s="1">
        <v>30</v>
      </c>
      <c r="F29" s="1">
        <v>30</v>
      </c>
      <c r="G29" s="1">
        <v>30.24</v>
      </c>
      <c r="H29" s="1">
        <v>30.1</v>
      </c>
      <c r="I29" s="1">
        <v>30</v>
      </c>
      <c r="J29" s="1">
        <v>30.33</v>
      </c>
      <c r="K29" s="1">
        <v>30.27</v>
      </c>
      <c r="L29" s="1">
        <v>30.41</v>
      </c>
      <c r="M29" s="1">
        <v>30.55</v>
      </c>
      <c r="N29" s="1">
        <v>27</v>
      </c>
      <c r="O29" s="1">
        <v>30</v>
      </c>
      <c r="P29" t="s">
        <v>25</v>
      </c>
      <c r="Q29" t="s">
        <v>163</v>
      </c>
      <c r="R29" s="1" t="s">
        <v>154</v>
      </c>
      <c r="S29" s="1">
        <f>IFERROR(AVERAGE(Wholesale[[#This Row],[‫دیسمبر‬‏]]:Wholesale[[#This Row],[‫اكتوبر‬‏]]),"")</f>
        <v>30.166666666666668</v>
      </c>
      <c r="T29" s="1">
        <f>IFERROR(AVERAGE(Wholesale[[#This Row],[‫سبتمبر‬‏]]:Wholesale[[#This Row],[‫یولیو‬‏]]),"")</f>
        <v>30.113333333333333</v>
      </c>
      <c r="U29" s="1">
        <f>IFERROR(AVERAGE(Wholesale[[#This Row],[‫یونیو‬‏]]:Wholesale[[#This Row],[‫ابریل‬‏]]),"")</f>
        <v>30.336666666666662</v>
      </c>
      <c r="V29" s="1">
        <f>IFERROR(AVERAGE(Wholesale[[#This Row],[‫مارس‬‏]]:Wholesale[[#This Row],[‫ینایر‬‏]]),"")</f>
        <v>29.183333333333334</v>
      </c>
    </row>
    <row r="30" spans="1:22" x14ac:dyDescent="0.35">
      <c r="A30" s="1">
        <v>0.1</v>
      </c>
      <c r="B30" s="1">
        <v>29.89</v>
      </c>
      <c r="C30" s="1">
        <v>29.91</v>
      </c>
      <c r="D30" s="1">
        <v>30.93</v>
      </c>
      <c r="E30" s="1">
        <v>30.53</v>
      </c>
      <c r="F30" s="1">
        <v>30.2</v>
      </c>
      <c r="G30" s="1">
        <v>24.06</v>
      </c>
      <c r="H30" s="1">
        <v>28.87</v>
      </c>
      <c r="I30" s="1">
        <v>28.4</v>
      </c>
      <c r="J30" s="1">
        <v>28.4</v>
      </c>
      <c r="K30" s="1">
        <v>31.17</v>
      </c>
      <c r="L30" s="1">
        <v>31.17</v>
      </c>
      <c r="M30" s="1">
        <v>31.17</v>
      </c>
      <c r="N30" s="1">
        <v>32</v>
      </c>
      <c r="O30" s="1">
        <v>32</v>
      </c>
      <c r="P30" t="s">
        <v>25</v>
      </c>
      <c r="Q30" t="s">
        <v>51</v>
      </c>
      <c r="R30" s="1" t="s">
        <v>154</v>
      </c>
      <c r="S30" s="1">
        <f>IFERROR(AVERAGE(Wholesale[[#This Row],[‫دیسمبر‬‏]]:Wholesale[[#This Row],[‫اكتوبر‬‏]]),"")</f>
        <v>30.553333333333331</v>
      </c>
      <c r="T30" s="1">
        <f>IFERROR(AVERAGE(Wholesale[[#This Row],[‫سبتمبر‬‏]]:Wholesale[[#This Row],[‫یولیو‬‏]]),"")</f>
        <v>27.11</v>
      </c>
      <c r="U30" s="1">
        <f>IFERROR(AVERAGE(Wholesale[[#This Row],[‫یونیو‬‏]]:Wholesale[[#This Row],[‫ابریل‬‏]]),"")</f>
        <v>30.24666666666667</v>
      </c>
      <c r="V30" s="1">
        <f>IFERROR(AVERAGE(Wholesale[[#This Row],[‫مارس‬‏]]:Wholesale[[#This Row],[‫ینایر‬‏]]),"")</f>
        <v>31.723333333333333</v>
      </c>
    </row>
    <row r="31" spans="1:22" x14ac:dyDescent="0.35">
      <c r="A31" s="1">
        <v>3.12</v>
      </c>
      <c r="B31" s="1">
        <v>63.33</v>
      </c>
      <c r="C31" s="1">
        <v>65.31</v>
      </c>
      <c r="D31" s="1">
        <v>65</v>
      </c>
      <c r="E31" s="1">
        <v>65.510000000000005</v>
      </c>
      <c r="F31" s="1">
        <v>65.489999999999995</v>
      </c>
      <c r="G31" s="1">
        <v>65.48</v>
      </c>
      <c r="H31" s="1">
        <v>65.37</v>
      </c>
      <c r="I31" s="1">
        <v>65.349999999999994</v>
      </c>
      <c r="J31" s="1">
        <v>65.33</v>
      </c>
      <c r="K31" s="1">
        <v>65.31</v>
      </c>
      <c r="L31" s="1">
        <v>65.290000000000006</v>
      </c>
      <c r="M31" s="1">
        <v>65.28</v>
      </c>
      <c r="N31" s="1">
        <v>65.22</v>
      </c>
      <c r="O31" s="1">
        <v>65.11</v>
      </c>
      <c r="P31" t="s">
        <v>25</v>
      </c>
      <c r="Q31" t="s">
        <v>164</v>
      </c>
      <c r="R31" s="1" t="s">
        <v>154</v>
      </c>
      <c r="S31" s="1">
        <f>IFERROR(AVERAGE(Wholesale[[#This Row],[‫دیسمبر‬‏]]:Wholesale[[#This Row],[‫اكتوبر‬‏]]),"")</f>
        <v>65.333333333333329</v>
      </c>
      <c r="T31" s="1">
        <f>IFERROR(AVERAGE(Wholesale[[#This Row],[‫سبتمبر‬‏]]:Wholesale[[#This Row],[‫یولیو‬‏]]),"")</f>
        <v>65.400000000000006</v>
      </c>
      <c r="U31" s="1">
        <f>IFERROR(AVERAGE(Wholesale[[#This Row],[‫یونیو‬‏]]:Wholesale[[#This Row],[‫ابریل‬‏]]),"")</f>
        <v>65.31</v>
      </c>
      <c r="V31" s="1">
        <f>IFERROR(AVERAGE(Wholesale[[#This Row],[‫مارس‬‏]]:Wholesale[[#This Row],[‫ینایر‬‏]]),"")</f>
        <v>65.203333333333333</v>
      </c>
    </row>
    <row r="32" spans="1:22" x14ac:dyDescent="0.35">
      <c r="A32" s="1">
        <v>25.75</v>
      </c>
      <c r="B32" s="1">
        <v>5.89</v>
      </c>
      <c r="C32" s="1">
        <v>7.41</v>
      </c>
      <c r="D32" s="1">
        <v>7.99</v>
      </c>
      <c r="E32" s="1">
        <v>7.82</v>
      </c>
      <c r="F32" s="1"/>
      <c r="G32" s="1"/>
      <c r="H32" s="1"/>
      <c r="I32" s="1"/>
      <c r="J32" s="1"/>
      <c r="K32" s="1"/>
      <c r="L32" s="1">
        <v>7.77</v>
      </c>
      <c r="M32" s="1">
        <v>7.74</v>
      </c>
      <c r="N32" s="1">
        <v>6.82</v>
      </c>
      <c r="O32" s="1">
        <v>6.33</v>
      </c>
      <c r="P32" t="s">
        <v>25</v>
      </c>
      <c r="Q32" t="s">
        <v>165</v>
      </c>
      <c r="R32" s="1" t="s">
        <v>154</v>
      </c>
      <c r="S32" s="1">
        <f>IFERROR(AVERAGE(Wholesale[[#This Row],[‫دیسمبر‬‏]]:Wholesale[[#This Row],[‫اكتوبر‬‏]]),"")</f>
        <v>7.9050000000000002</v>
      </c>
      <c r="T32" s="1" t="str">
        <f>IFERROR(AVERAGE(Wholesale[[#This Row],[‫سبتمبر‬‏]]:Wholesale[[#This Row],[‫یولیو‬‏]]),"")</f>
        <v/>
      </c>
      <c r="U32" s="1">
        <f>IFERROR(AVERAGE(Wholesale[[#This Row],[‫یونیو‬‏]]:Wholesale[[#This Row],[‫ابریل‬‏]]),"")</f>
        <v>7.77</v>
      </c>
      <c r="V32" s="1">
        <f>IFERROR(AVERAGE(Wholesale[[#This Row],[‫مارس‬‏]]:Wholesale[[#This Row],[‫ینایر‬‏]]),"")</f>
        <v>6.9633333333333338</v>
      </c>
    </row>
    <row r="33" spans="1:22" x14ac:dyDescent="0.35">
      <c r="A33" s="1">
        <v>39.200000000000003</v>
      </c>
      <c r="B33" s="1">
        <v>9.58</v>
      </c>
      <c r="C33" s="1">
        <v>13.34</v>
      </c>
      <c r="D33" s="1">
        <v>17.920000000000002</v>
      </c>
      <c r="E33" s="1">
        <v>18.05</v>
      </c>
      <c r="F33" s="1">
        <v>15.33</v>
      </c>
      <c r="G33" s="1">
        <v>12.5</v>
      </c>
      <c r="H33" s="1">
        <v>16.25</v>
      </c>
      <c r="I33" s="1">
        <v>7.5</v>
      </c>
      <c r="J33" s="1">
        <v>16.079999999999998</v>
      </c>
      <c r="K33" s="1">
        <v>13.92</v>
      </c>
      <c r="L33" s="1">
        <v>10.91</v>
      </c>
      <c r="M33" s="1">
        <v>10.4</v>
      </c>
      <c r="N33" s="1">
        <v>10.65</v>
      </c>
      <c r="O33" s="1">
        <v>10.55</v>
      </c>
      <c r="P33" t="s">
        <v>25</v>
      </c>
      <c r="Q33" t="s">
        <v>52</v>
      </c>
      <c r="R33" s="1" t="s">
        <v>154</v>
      </c>
      <c r="S33" s="1">
        <f>IFERROR(AVERAGE(Wholesale[[#This Row],[‫دیسمبر‬‏]]:Wholesale[[#This Row],[‫اكتوبر‬‏]]),"")</f>
        <v>17.099999999999998</v>
      </c>
      <c r="T33" s="1">
        <f>IFERROR(AVERAGE(Wholesale[[#This Row],[‫سبتمبر‬‏]]:Wholesale[[#This Row],[‫یولیو‬‏]]),"")</f>
        <v>12.083333333333334</v>
      </c>
      <c r="U33" s="1">
        <f>IFERROR(AVERAGE(Wholesale[[#This Row],[‫یونیو‬‏]]:Wholesale[[#This Row],[‫ابریل‬‏]]),"")</f>
        <v>13.636666666666665</v>
      </c>
      <c r="V33" s="1">
        <f>IFERROR(AVERAGE(Wholesale[[#This Row],[‫مارس‬‏]]:Wholesale[[#This Row],[‫ینایر‬‏]]),"")</f>
        <v>10.533333333333333</v>
      </c>
    </row>
    <row r="34" spans="1:22" x14ac:dyDescent="0.35">
      <c r="A34" s="1">
        <v>5.5</v>
      </c>
      <c r="B34" s="1">
        <v>17.5</v>
      </c>
      <c r="C34" s="1">
        <v>18.46</v>
      </c>
      <c r="D34" s="1">
        <v>16.34</v>
      </c>
      <c r="E34" s="1">
        <v>18.14</v>
      </c>
      <c r="F34" s="1">
        <v>18.579999999999998</v>
      </c>
      <c r="G34" s="1">
        <v>17.12</v>
      </c>
      <c r="H34" s="1">
        <v>17.12</v>
      </c>
      <c r="I34" s="1">
        <v>16.829999999999998</v>
      </c>
      <c r="J34" s="1">
        <v>18.2</v>
      </c>
      <c r="K34" s="1">
        <v>19.93</v>
      </c>
      <c r="L34" s="1">
        <v>19.559999999999999</v>
      </c>
      <c r="M34" s="1">
        <v>19.39</v>
      </c>
      <c r="N34" s="1">
        <v>20.25</v>
      </c>
      <c r="O34" s="1">
        <v>20.07</v>
      </c>
      <c r="P34" t="s">
        <v>25</v>
      </c>
      <c r="Q34" t="s">
        <v>53</v>
      </c>
      <c r="R34" s="1" t="s">
        <v>154</v>
      </c>
      <c r="S34" s="1">
        <f>IFERROR(AVERAGE(Wholesale[[#This Row],[‫دیسمبر‬‏]]:Wholesale[[#This Row],[‫اكتوبر‬‏]]),"")</f>
        <v>17.686666666666667</v>
      </c>
      <c r="T34" s="1">
        <f>IFERROR(AVERAGE(Wholesale[[#This Row],[‫سبتمبر‬‏]]:Wholesale[[#This Row],[‫یولیو‬‏]]),"")</f>
        <v>17.023333333333333</v>
      </c>
      <c r="U34" s="1">
        <f>IFERROR(AVERAGE(Wholesale[[#This Row],[‫یونیو‬‏]]:Wholesale[[#This Row],[‫ابریل‬‏]]),"")</f>
        <v>19.23</v>
      </c>
      <c r="V34" s="1">
        <f>IFERROR(AVERAGE(Wholesale[[#This Row],[‫مارس‬‏]]:Wholesale[[#This Row],[‫ینایر‬‏]]),"")</f>
        <v>19.903333333333332</v>
      </c>
    </row>
    <row r="35" spans="1:22" x14ac:dyDescent="0.35">
      <c r="A35" s="1">
        <v>-23.5</v>
      </c>
      <c r="B35" s="1">
        <v>23.86</v>
      </c>
      <c r="C35" s="1">
        <v>18.25</v>
      </c>
      <c r="D35" s="1">
        <v>21.01</v>
      </c>
      <c r="E35" s="1">
        <v>28.68</v>
      </c>
      <c r="F35" s="1"/>
      <c r="G35" s="1"/>
      <c r="H35" s="1"/>
      <c r="I35" s="1"/>
      <c r="J35" s="1"/>
      <c r="K35" s="1">
        <v>14.68</v>
      </c>
      <c r="L35" s="1">
        <v>13.33</v>
      </c>
      <c r="M35" s="1">
        <v>13.45</v>
      </c>
      <c r="N35" s="1">
        <v>14.83</v>
      </c>
      <c r="O35" s="1">
        <v>21.74</v>
      </c>
      <c r="P35" t="s">
        <v>25</v>
      </c>
      <c r="Q35" t="s">
        <v>54</v>
      </c>
      <c r="R35" s="1" t="s">
        <v>154</v>
      </c>
      <c r="S35" s="1">
        <f>IFERROR(AVERAGE(Wholesale[[#This Row],[‫دیسمبر‬‏]]:Wholesale[[#This Row],[‫اكتوبر‬‏]]),"")</f>
        <v>24.844999999999999</v>
      </c>
      <c r="T35" s="1" t="str">
        <f>IFERROR(AVERAGE(Wholesale[[#This Row],[‫سبتمبر‬‏]]:Wholesale[[#This Row],[‫یولیو‬‏]]),"")</f>
        <v/>
      </c>
      <c r="U35" s="1">
        <f>IFERROR(AVERAGE(Wholesale[[#This Row],[‫یونیو‬‏]]:Wholesale[[#This Row],[‫ابریل‬‏]]),"")</f>
        <v>14.004999999999999</v>
      </c>
      <c r="V35" s="1">
        <f>IFERROR(AVERAGE(Wholesale[[#This Row],[‫مارس‬‏]]:Wholesale[[#This Row],[‫ینایر‬‏]]),"")</f>
        <v>16.673333333333332</v>
      </c>
    </row>
    <row r="36" spans="1:22" x14ac:dyDescent="0.35">
      <c r="A36" s="1">
        <v>24.6</v>
      </c>
      <c r="B36" s="1">
        <v>14.53</v>
      </c>
      <c r="C36" s="1">
        <v>18.11</v>
      </c>
      <c r="D36" s="1">
        <v>18.36</v>
      </c>
      <c r="E36" s="1">
        <v>19.79</v>
      </c>
      <c r="F36" s="1">
        <v>22.25</v>
      </c>
      <c r="G36" s="1">
        <v>20.14</v>
      </c>
      <c r="H36" s="1">
        <v>16.95</v>
      </c>
      <c r="I36" s="1">
        <v>17.21</v>
      </c>
      <c r="J36" s="1">
        <v>16.88</v>
      </c>
      <c r="K36" s="1">
        <v>15.82</v>
      </c>
      <c r="L36" s="1">
        <v>17.95</v>
      </c>
      <c r="M36" s="1">
        <v>17.22</v>
      </c>
      <c r="N36" s="1">
        <v>17.440000000000001</v>
      </c>
      <c r="O36" s="1">
        <v>17.32</v>
      </c>
      <c r="P36" t="s">
        <v>56</v>
      </c>
      <c r="Q36" t="s">
        <v>55</v>
      </c>
      <c r="R36" s="1" t="s">
        <v>154</v>
      </c>
      <c r="S36" s="1">
        <f>IFERROR(AVERAGE(Wholesale[[#This Row],[‫دیسمبر‬‏]]:Wholesale[[#This Row],[‫اكتوبر‬‏]]),"")</f>
        <v>20.133333333333333</v>
      </c>
      <c r="T36" s="1">
        <f>IFERROR(AVERAGE(Wholesale[[#This Row],[‫سبتمبر‬‏]]:Wholesale[[#This Row],[‫یولیو‬‏]]),"")</f>
        <v>18.100000000000001</v>
      </c>
      <c r="U36" s="1">
        <f>IFERROR(AVERAGE(Wholesale[[#This Row],[‫یونیو‬‏]]:Wholesale[[#This Row],[‫ابریل‬‏]]),"")</f>
        <v>16.883333333333336</v>
      </c>
      <c r="V36" s="1">
        <f>IFERROR(AVERAGE(Wholesale[[#This Row],[‫مارس‬‏]]:Wholesale[[#This Row],[‫ینایر‬‏]]),"")</f>
        <v>17.326666666666664</v>
      </c>
    </row>
    <row r="37" spans="1:22" x14ac:dyDescent="0.35">
      <c r="A37" s="1">
        <v>28.9</v>
      </c>
      <c r="B37" s="1">
        <v>15.02</v>
      </c>
      <c r="C37" s="1">
        <v>19.37</v>
      </c>
      <c r="D37" s="1">
        <v>16.34</v>
      </c>
      <c r="E37" s="1">
        <v>18.97</v>
      </c>
      <c r="F37" s="1"/>
      <c r="G37" s="1"/>
      <c r="H37" s="1"/>
      <c r="I37" s="1"/>
      <c r="J37" s="1"/>
      <c r="K37" s="1"/>
      <c r="L37" s="1">
        <v>16.559999999999999</v>
      </c>
      <c r="M37" s="1">
        <v>21.79</v>
      </c>
      <c r="N37" s="1">
        <v>21.28</v>
      </c>
      <c r="O37" s="1">
        <v>21.29</v>
      </c>
      <c r="P37" t="s">
        <v>56</v>
      </c>
      <c r="Q37" t="s">
        <v>57</v>
      </c>
      <c r="R37" s="1" t="s">
        <v>154</v>
      </c>
      <c r="S37" s="1">
        <f>IFERROR(AVERAGE(Wholesale[[#This Row],[‫دیسمبر‬‏]]:Wholesale[[#This Row],[‫اكتوبر‬‏]]),"")</f>
        <v>17.655000000000001</v>
      </c>
      <c r="T37" s="1" t="str">
        <f>IFERROR(AVERAGE(Wholesale[[#This Row],[‫سبتمبر‬‏]]:Wholesale[[#This Row],[‫یولیو‬‏]]),"")</f>
        <v/>
      </c>
      <c r="U37" s="1">
        <f>IFERROR(AVERAGE(Wholesale[[#This Row],[‫یونیو‬‏]]:Wholesale[[#This Row],[‫ابریل‬‏]]),"")</f>
        <v>16.559999999999999</v>
      </c>
      <c r="V37" s="1">
        <f>IFERROR(AVERAGE(Wholesale[[#This Row],[‫مارس‬‏]]:Wholesale[[#This Row],[‫ینایر‬‏]]),"")</f>
        <v>21.453333333333333</v>
      </c>
    </row>
    <row r="38" spans="1:22" x14ac:dyDescent="0.35">
      <c r="A38" s="1">
        <v>0.2</v>
      </c>
      <c r="B38" s="1">
        <v>9.31</v>
      </c>
      <c r="C38" s="1">
        <v>9.33</v>
      </c>
      <c r="D38" s="1">
        <v>12.93</v>
      </c>
      <c r="E38" s="1">
        <v>13.99</v>
      </c>
      <c r="F38" s="1">
        <v>12.3</v>
      </c>
      <c r="G38" s="1">
        <v>12.58</v>
      </c>
      <c r="H38" s="1">
        <v>9.98</v>
      </c>
      <c r="I38" s="1">
        <v>7.99</v>
      </c>
      <c r="J38" s="1">
        <v>7.01</v>
      </c>
      <c r="K38" s="1">
        <v>6.58</v>
      </c>
      <c r="L38" s="1">
        <v>6.38</v>
      </c>
      <c r="M38" s="1">
        <v>7.56</v>
      </c>
      <c r="N38" s="1">
        <v>7.64</v>
      </c>
      <c r="O38" s="1">
        <v>7.05</v>
      </c>
      <c r="P38" t="s">
        <v>25</v>
      </c>
      <c r="Q38" t="s">
        <v>58</v>
      </c>
      <c r="R38" s="1" t="s">
        <v>154</v>
      </c>
      <c r="S38" s="1">
        <f>IFERROR(AVERAGE(Wholesale[[#This Row],[‫دیسمبر‬‏]]:Wholesale[[#This Row],[‫اكتوبر‬‏]]),"")</f>
        <v>13.073333333333332</v>
      </c>
      <c r="T38" s="1">
        <f>IFERROR(AVERAGE(Wholesale[[#This Row],[‫سبتمبر‬‏]]:Wholesale[[#This Row],[‫یولیو‬‏]]),"")</f>
        <v>10.183333333333335</v>
      </c>
      <c r="U38" s="1">
        <f>IFERROR(AVERAGE(Wholesale[[#This Row],[‫یونیو‬‏]]:Wholesale[[#This Row],[‫ابریل‬‏]]),"")</f>
        <v>6.6566666666666663</v>
      </c>
      <c r="V38" s="1">
        <f>IFERROR(AVERAGE(Wholesale[[#This Row],[‫مارس‬‏]]:Wholesale[[#This Row],[‫ینایر‬‏]]),"")</f>
        <v>7.416666666666667</v>
      </c>
    </row>
    <row r="39" spans="1:22" x14ac:dyDescent="0.35">
      <c r="A39" s="1">
        <v>-40.4</v>
      </c>
      <c r="B39" s="1">
        <v>34</v>
      </c>
      <c r="C39" s="1">
        <v>20.25</v>
      </c>
      <c r="D39" s="1"/>
      <c r="E39" s="1"/>
      <c r="F39" s="1"/>
      <c r="G39" s="1"/>
      <c r="H39" s="1"/>
      <c r="I39" s="1"/>
      <c r="J39" s="1"/>
      <c r="K39" s="1">
        <v>30</v>
      </c>
      <c r="L39" s="1">
        <v>18.25</v>
      </c>
      <c r="M39" s="1">
        <v>25</v>
      </c>
      <c r="N39" s="1">
        <v>16</v>
      </c>
      <c r="O39" s="1">
        <v>12</v>
      </c>
      <c r="P39" t="s">
        <v>166</v>
      </c>
      <c r="Q39" t="s">
        <v>59</v>
      </c>
      <c r="R39" s="1" t="s">
        <v>154</v>
      </c>
      <c r="S39" s="1" t="str">
        <f>IFERROR(AVERAGE(Wholesale[[#This Row],[‫دیسمبر‬‏]]:Wholesale[[#This Row],[‫اكتوبر‬‏]]),"")</f>
        <v/>
      </c>
      <c r="T39" s="1" t="str">
        <f>IFERROR(AVERAGE(Wholesale[[#This Row],[‫سبتمبر‬‏]]:Wholesale[[#This Row],[‫یولیو‬‏]]),"")</f>
        <v/>
      </c>
      <c r="U39" s="1">
        <f>IFERROR(AVERAGE(Wholesale[[#This Row],[‫یونیو‬‏]]:Wholesale[[#This Row],[‫ابریل‬‏]]),"")</f>
        <v>24.125</v>
      </c>
      <c r="V39" s="1">
        <f>IFERROR(AVERAGE(Wholesale[[#This Row],[‫مارس‬‏]]:Wholesale[[#This Row],[‫ینایر‬‏]]),"")</f>
        <v>17.666666666666668</v>
      </c>
    </row>
    <row r="40" spans="1:22" x14ac:dyDescent="0.35">
      <c r="A40" s="1">
        <v>21.3</v>
      </c>
      <c r="B40" s="1">
        <v>6.62</v>
      </c>
      <c r="C40" s="1">
        <v>8.0299999999999994</v>
      </c>
      <c r="D40" s="1">
        <v>7.84</v>
      </c>
      <c r="E40" s="1">
        <v>7.96</v>
      </c>
      <c r="F40" s="1">
        <v>8.6</v>
      </c>
      <c r="G40" s="1">
        <v>8.74</v>
      </c>
      <c r="H40" s="1">
        <v>9.01</v>
      </c>
      <c r="I40" s="1">
        <v>7.9</v>
      </c>
      <c r="J40" s="1"/>
      <c r="K40" s="1"/>
      <c r="L40" s="1">
        <v>7.74</v>
      </c>
      <c r="M40" s="1">
        <v>8.23</v>
      </c>
      <c r="N40" s="1">
        <v>7.38</v>
      </c>
      <c r="O40" s="1">
        <v>6.93</v>
      </c>
      <c r="P40" t="s">
        <v>25</v>
      </c>
      <c r="Q40" t="s">
        <v>167</v>
      </c>
      <c r="R40" s="1" t="s">
        <v>154</v>
      </c>
      <c r="S40" s="1">
        <f>IFERROR(AVERAGE(Wholesale[[#This Row],[‫دیسمبر‬‏]]:Wholesale[[#This Row],[‫اكتوبر‬‏]]),"")</f>
        <v>8.1333333333333329</v>
      </c>
      <c r="T40" s="1">
        <f>IFERROR(AVERAGE(Wholesale[[#This Row],[‫سبتمبر‬‏]]:Wholesale[[#This Row],[‫یولیو‬‏]]),"")</f>
        <v>8.5499999999999989</v>
      </c>
      <c r="U40" s="1">
        <f>IFERROR(AVERAGE(Wholesale[[#This Row],[‫یونیو‬‏]]:Wholesale[[#This Row],[‫ابریل‬‏]]),"")</f>
        <v>7.74</v>
      </c>
      <c r="V40" s="1">
        <f>IFERROR(AVERAGE(Wholesale[[#This Row],[‫مارس‬‏]]:Wholesale[[#This Row],[‫ینایر‬‏]]),"")</f>
        <v>7.5133333333333328</v>
      </c>
    </row>
    <row r="41" spans="1:22" x14ac:dyDescent="0.35">
      <c r="A41" s="1">
        <v>46.5</v>
      </c>
      <c r="B41" s="1">
        <v>3.64</v>
      </c>
      <c r="C41" s="1">
        <v>5.33</v>
      </c>
      <c r="D41" s="1">
        <v>6.43</v>
      </c>
      <c r="E41" s="1">
        <v>5.67</v>
      </c>
      <c r="F41" s="1">
        <v>5.67</v>
      </c>
      <c r="G41" s="1">
        <v>5.5</v>
      </c>
      <c r="H41" s="1">
        <v>5.5</v>
      </c>
      <c r="I41" s="1">
        <v>5</v>
      </c>
      <c r="J41" s="1">
        <v>4.5</v>
      </c>
      <c r="K41" s="1">
        <v>5.67</v>
      </c>
      <c r="L41" s="1">
        <v>5.2</v>
      </c>
      <c r="M41" s="1">
        <v>5.29</v>
      </c>
      <c r="N41" s="1">
        <v>4.8899999999999997</v>
      </c>
      <c r="O41" s="1">
        <v>4.67</v>
      </c>
      <c r="P41" t="s">
        <v>25</v>
      </c>
      <c r="Q41" t="s">
        <v>168</v>
      </c>
      <c r="R41" s="1" t="s">
        <v>154</v>
      </c>
      <c r="S41" s="1">
        <f>IFERROR(AVERAGE(Wholesale[[#This Row],[‫دیسمبر‬‏]]:Wholesale[[#This Row],[‫اكتوبر‬‏]]),"")</f>
        <v>5.9233333333333329</v>
      </c>
      <c r="T41" s="1">
        <f>IFERROR(AVERAGE(Wholesale[[#This Row],[‫سبتمبر‬‏]]:Wholesale[[#This Row],[‫یولیو‬‏]]),"")</f>
        <v>5.333333333333333</v>
      </c>
      <c r="U41" s="1">
        <f>IFERROR(AVERAGE(Wholesale[[#This Row],[‫یونیو‬‏]]:Wholesale[[#This Row],[‫ابریل‬‏]]),"")</f>
        <v>5.123333333333334</v>
      </c>
      <c r="V41" s="1">
        <f>IFERROR(AVERAGE(Wholesale[[#This Row],[‫مارس‬‏]]:Wholesale[[#This Row],[‫ینایر‬‏]]),"")</f>
        <v>4.95</v>
      </c>
    </row>
    <row r="42" spans="1:22" x14ac:dyDescent="0.35">
      <c r="A42" s="1">
        <v>59.2</v>
      </c>
      <c r="B42" s="1">
        <v>8.6300000000000008</v>
      </c>
      <c r="C42" s="1">
        <v>13.74</v>
      </c>
      <c r="D42" s="1">
        <v>13</v>
      </c>
      <c r="E42" s="1">
        <v>15.13</v>
      </c>
      <c r="F42" s="1"/>
      <c r="G42" s="1"/>
      <c r="H42" s="1"/>
      <c r="I42" s="1"/>
      <c r="J42" s="1"/>
      <c r="K42" s="1"/>
      <c r="L42" s="1">
        <v>17.86</v>
      </c>
      <c r="M42" s="1">
        <v>13.87</v>
      </c>
      <c r="N42" s="1">
        <v>11.83</v>
      </c>
      <c r="O42" s="1">
        <v>10.75</v>
      </c>
      <c r="P42" t="s">
        <v>25</v>
      </c>
      <c r="Q42" t="s">
        <v>62</v>
      </c>
      <c r="R42" s="1" t="s">
        <v>154</v>
      </c>
      <c r="S42" s="1">
        <f>IFERROR(AVERAGE(Wholesale[[#This Row],[‫دیسمبر‬‏]]:Wholesale[[#This Row],[‫اكتوبر‬‏]]),"")</f>
        <v>14.065000000000001</v>
      </c>
      <c r="T42" s="1" t="str">
        <f>IFERROR(AVERAGE(Wholesale[[#This Row],[‫سبتمبر‬‏]]:Wholesale[[#This Row],[‫یولیو‬‏]]),"")</f>
        <v/>
      </c>
      <c r="U42" s="1">
        <f>IFERROR(AVERAGE(Wholesale[[#This Row],[‫یونیو‬‏]]:Wholesale[[#This Row],[‫ابریل‬‏]]),"")</f>
        <v>17.86</v>
      </c>
      <c r="V42" s="1">
        <f>IFERROR(AVERAGE(Wholesale[[#This Row],[‫مارس‬‏]]:Wholesale[[#This Row],[‫ینایر‬‏]]),"")</f>
        <v>12.15</v>
      </c>
    </row>
    <row r="43" spans="1:22" x14ac:dyDescent="0.35">
      <c r="A43" s="1">
        <v>55.1</v>
      </c>
      <c r="B43" s="1">
        <v>10.08</v>
      </c>
      <c r="C43" s="1">
        <v>15.64</v>
      </c>
      <c r="D43" s="1">
        <v>15.67</v>
      </c>
      <c r="E43" s="1">
        <v>16.5</v>
      </c>
      <c r="F43" s="1"/>
      <c r="G43" s="1"/>
      <c r="H43" s="1"/>
      <c r="I43" s="1"/>
      <c r="J43" s="1"/>
      <c r="K43" s="1"/>
      <c r="L43" s="1">
        <v>15.5</v>
      </c>
      <c r="M43" s="1">
        <v>15.49</v>
      </c>
      <c r="N43" s="1">
        <v>15.44</v>
      </c>
      <c r="O43" s="1">
        <v>15.22</v>
      </c>
      <c r="P43" t="s">
        <v>25</v>
      </c>
      <c r="Q43" t="s">
        <v>169</v>
      </c>
      <c r="R43" s="1" t="s">
        <v>154</v>
      </c>
      <c r="S43" s="1">
        <f>IFERROR(AVERAGE(Wholesale[[#This Row],[‫دیسمبر‬‏]]:Wholesale[[#This Row],[‫اكتوبر‬‏]]),"")</f>
        <v>16.085000000000001</v>
      </c>
      <c r="T43" s="1" t="str">
        <f>IFERROR(AVERAGE(Wholesale[[#This Row],[‫سبتمبر‬‏]]:Wholesale[[#This Row],[‫یولیو‬‏]]),"")</f>
        <v/>
      </c>
      <c r="U43" s="1">
        <f>IFERROR(AVERAGE(Wholesale[[#This Row],[‫یونیو‬‏]]:Wholesale[[#This Row],[‫ابریل‬‏]]),"")</f>
        <v>15.5</v>
      </c>
      <c r="V43" s="1">
        <f>IFERROR(AVERAGE(Wholesale[[#This Row],[‫مارس‬‏]]:Wholesale[[#This Row],[‫ینایر‬‏]]),"")</f>
        <v>15.383333333333333</v>
      </c>
    </row>
    <row r="44" spans="1:22" x14ac:dyDescent="0.35">
      <c r="A44" s="1">
        <v>60.2</v>
      </c>
      <c r="B44" s="1">
        <v>10.39</v>
      </c>
      <c r="C44" s="1">
        <v>16.64</v>
      </c>
      <c r="D44" s="1">
        <v>16.59</v>
      </c>
      <c r="E44" s="1">
        <v>17.149999999999999</v>
      </c>
      <c r="F44" s="1">
        <v>18.37</v>
      </c>
      <c r="G44" s="1"/>
      <c r="H44" s="1"/>
      <c r="I44" s="1"/>
      <c r="J44" s="1"/>
      <c r="K44" s="1"/>
      <c r="L44" s="1">
        <v>19.71</v>
      </c>
      <c r="M44" s="1">
        <v>19.059999999999999</v>
      </c>
      <c r="N44" s="1">
        <v>13.61</v>
      </c>
      <c r="O44" s="1">
        <v>11.98</v>
      </c>
      <c r="P44" t="s">
        <v>25</v>
      </c>
      <c r="Q44" t="s">
        <v>64</v>
      </c>
      <c r="R44" s="1" t="s">
        <v>154</v>
      </c>
      <c r="S44" s="1">
        <f>IFERROR(AVERAGE(Wholesale[[#This Row],[‫دیسمبر‬‏]]:Wholesale[[#This Row],[‫اكتوبر‬‏]]),"")</f>
        <v>17.37</v>
      </c>
      <c r="T44" s="1" t="str">
        <f>IFERROR(AVERAGE(Wholesale[[#This Row],[‫سبتمبر‬‏]]:Wholesale[[#This Row],[‫یولیو‬‏]]),"")</f>
        <v/>
      </c>
      <c r="U44" s="1">
        <f>IFERROR(AVERAGE(Wholesale[[#This Row],[‫یونیو‬‏]]:Wholesale[[#This Row],[‫ابریل‬‏]]),"")</f>
        <v>19.71</v>
      </c>
      <c r="V44" s="1">
        <f>IFERROR(AVERAGE(Wholesale[[#This Row],[‫مارس‬‏]]:Wholesale[[#This Row],[‫ینایر‬‏]]),"")</f>
        <v>14.883333333333335</v>
      </c>
    </row>
    <row r="45" spans="1:22" x14ac:dyDescent="0.35">
      <c r="A45" s="1">
        <v>95</v>
      </c>
      <c r="B45" s="1">
        <v>9.9</v>
      </c>
      <c r="C45" s="1">
        <v>19.3</v>
      </c>
      <c r="D45" s="1">
        <v>17.170000000000002</v>
      </c>
      <c r="E45" s="1">
        <v>20</v>
      </c>
      <c r="F45" s="1"/>
      <c r="G45" s="1"/>
      <c r="H45" s="1"/>
      <c r="I45" s="1"/>
      <c r="J45" s="1"/>
      <c r="K45" s="1"/>
      <c r="L45" s="1"/>
      <c r="M45" s="1">
        <v>14.78</v>
      </c>
      <c r="N45" s="1">
        <v>21.19</v>
      </c>
      <c r="O45" s="1">
        <v>23.36</v>
      </c>
      <c r="P45" t="s">
        <v>25</v>
      </c>
      <c r="Q45" t="s">
        <v>170</v>
      </c>
      <c r="R45" s="1" t="s">
        <v>154</v>
      </c>
      <c r="S45" s="1">
        <f>IFERROR(AVERAGE(Wholesale[[#This Row],[‫دیسمبر‬‏]]:Wholesale[[#This Row],[‫اكتوبر‬‏]]),"")</f>
        <v>18.585000000000001</v>
      </c>
      <c r="T45" s="1" t="str">
        <f>IFERROR(AVERAGE(Wholesale[[#This Row],[‫سبتمبر‬‏]]:Wholesale[[#This Row],[‫یولیو‬‏]]),"")</f>
        <v/>
      </c>
      <c r="U45" s="1" t="str">
        <f>IFERROR(AVERAGE(Wholesale[[#This Row],[‫یونیو‬‏]]:Wholesale[[#This Row],[‫ابریل‬‏]]),"")</f>
        <v/>
      </c>
      <c r="V45" s="1">
        <f>IFERROR(AVERAGE(Wholesale[[#This Row],[‫مارس‬‏]]:Wholesale[[#This Row],[‫ینایر‬‏]]),"")</f>
        <v>19.776666666666667</v>
      </c>
    </row>
    <row r="46" spans="1:22" x14ac:dyDescent="0.35">
      <c r="A46" s="1">
        <v>12.6</v>
      </c>
      <c r="B46" s="1">
        <v>36.369999999999997</v>
      </c>
      <c r="C46" s="1">
        <v>40.96</v>
      </c>
      <c r="D46" s="1">
        <v>51.5</v>
      </c>
      <c r="E46" s="1">
        <v>40.79</v>
      </c>
      <c r="F46" s="1">
        <v>41</v>
      </c>
      <c r="G46" s="1">
        <v>38.74</v>
      </c>
      <c r="H46" s="1">
        <v>37.44</v>
      </c>
      <c r="I46" s="1">
        <v>33.75</v>
      </c>
      <c r="J46" s="1">
        <v>43.51</v>
      </c>
      <c r="K46" s="1"/>
      <c r="L46" s="1"/>
      <c r="M46" s="1"/>
      <c r="N46" s="1"/>
      <c r="O46" s="1"/>
      <c r="P46" t="s">
        <v>25</v>
      </c>
      <c r="Q46" t="s">
        <v>66</v>
      </c>
      <c r="R46" s="1" t="s">
        <v>154</v>
      </c>
      <c r="S46" s="1">
        <f>IFERROR(AVERAGE(Wholesale[[#This Row],[‫دیسمبر‬‏]]:Wholesale[[#This Row],[‫اكتوبر‬‏]]),"")</f>
        <v>44.43</v>
      </c>
      <c r="T46" s="1">
        <f>IFERROR(AVERAGE(Wholesale[[#This Row],[‫سبتمبر‬‏]]:Wholesale[[#This Row],[‫یولیو‬‏]]),"")</f>
        <v>36.643333333333338</v>
      </c>
      <c r="U46" s="1">
        <f>IFERROR(AVERAGE(Wholesale[[#This Row],[‫یونیو‬‏]]:Wholesale[[#This Row],[‫ابریل‬‏]]),"")</f>
        <v>43.51</v>
      </c>
      <c r="V46" s="1" t="str">
        <f>IFERROR(AVERAGE(Wholesale[[#This Row],[‫مارس‬‏]]:Wholesale[[#This Row],[‫ینایر‬‏]]),"")</f>
        <v/>
      </c>
    </row>
    <row r="47" spans="1:22" x14ac:dyDescent="0.35">
      <c r="A47" s="1">
        <v>31.2</v>
      </c>
      <c r="B47" s="1">
        <v>8.1</v>
      </c>
      <c r="C47" s="1">
        <v>10.62</v>
      </c>
      <c r="D47" s="1">
        <v>12.58</v>
      </c>
      <c r="E47" s="1">
        <v>9.4</v>
      </c>
      <c r="F47" s="1">
        <v>8.5299999999999994</v>
      </c>
      <c r="G47" s="1">
        <v>8.33</v>
      </c>
      <c r="H47" s="1">
        <v>8.89</v>
      </c>
      <c r="I47" s="1">
        <v>9.4700000000000006</v>
      </c>
      <c r="J47" s="1">
        <v>12.56</v>
      </c>
      <c r="K47" s="1">
        <v>15.21</v>
      </c>
      <c r="L47" s="1"/>
      <c r="M47" s="1"/>
      <c r="N47" s="1"/>
      <c r="O47" s="1"/>
      <c r="P47" t="s">
        <v>25</v>
      </c>
      <c r="Q47" t="s">
        <v>67</v>
      </c>
      <c r="R47" s="1" t="s">
        <v>154</v>
      </c>
      <c r="S47" s="1">
        <f>IFERROR(AVERAGE(Wholesale[[#This Row],[‫دیسمبر‬‏]]:Wholesale[[#This Row],[‫اكتوبر‬‏]]),"")</f>
        <v>10.17</v>
      </c>
      <c r="T47" s="1">
        <f>IFERROR(AVERAGE(Wholesale[[#This Row],[‫سبتمبر‬‏]]:Wholesale[[#This Row],[‫یولیو‬‏]]),"")</f>
        <v>8.8966666666666665</v>
      </c>
      <c r="U47" s="1">
        <f>IFERROR(AVERAGE(Wholesale[[#This Row],[‫یونیو‬‏]]:Wholesale[[#This Row],[‫ابریل‬‏]]),"")</f>
        <v>13.885000000000002</v>
      </c>
      <c r="V47" s="1" t="str">
        <f>IFERROR(AVERAGE(Wholesale[[#This Row],[‫مارس‬‏]]:Wholesale[[#This Row],[‫ینایر‬‏]]),"")</f>
        <v/>
      </c>
    </row>
    <row r="48" spans="1:22" x14ac:dyDescent="0.35">
      <c r="A48" s="1">
        <v>13.33</v>
      </c>
      <c r="B48" s="1">
        <v>9.3699999999999992</v>
      </c>
      <c r="C48" s="1">
        <v>10.62</v>
      </c>
      <c r="D48" s="1">
        <v>10.06</v>
      </c>
      <c r="E48" s="1">
        <v>9.6300000000000008</v>
      </c>
      <c r="F48" s="1">
        <v>10.45</v>
      </c>
      <c r="G48" s="1">
        <v>8.93</v>
      </c>
      <c r="H48" s="1">
        <v>9.01</v>
      </c>
      <c r="I48" s="1">
        <v>8.5</v>
      </c>
      <c r="J48" s="1">
        <v>11.38</v>
      </c>
      <c r="K48" s="1">
        <v>12.03</v>
      </c>
      <c r="L48" s="1">
        <v>12.78</v>
      </c>
      <c r="M48" s="1">
        <v>15.29</v>
      </c>
      <c r="N48" s="1">
        <v>10.01</v>
      </c>
      <c r="O48" s="1">
        <v>9.3800000000000008</v>
      </c>
      <c r="P48" t="s">
        <v>25</v>
      </c>
      <c r="Q48" t="s">
        <v>68</v>
      </c>
      <c r="R48" s="1" t="s">
        <v>154</v>
      </c>
      <c r="S48" s="1">
        <f>IFERROR(AVERAGE(Wholesale[[#This Row],[‫دیسمبر‬‏]]:Wholesale[[#This Row],[‫اكتوبر‬‏]]),"")</f>
        <v>10.046666666666667</v>
      </c>
      <c r="T48" s="1">
        <f>IFERROR(AVERAGE(Wholesale[[#This Row],[‫سبتمبر‬‏]]:Wholesale[[#This Row],[‫یولیو‬‏]]),"")</f>
        <v>8.8133333333333326</v>
      </c>
      <c r="U48" s="1">
        <f>IFERROR(AVERAGE(Wholesale[[#This Row],[‫یونیو‬‏]]:Wholesale[[#This Row],[‫ابریل‬‏]]),"")</f>
        <v>12.063333333333333</v>
      </c>
      <c r="V48" s="1">
        <f>IFERROR(AVERAGE(Wholesale[[#This Row],[‫مارس‬‏]]:Wholesale[[#This Row],[‫ینایر‬‏]]),"")</f>
        <v>11.56</v>
      </c>
    </row>
    <row r="49" spans="1:22" x14ac:dyDescent="0.35">
      <c r="A49" s="1">
        <v>15.17</v>
      </c>
      <c r="B49" s="1">
        <v>8.93</v>
      </c>
      <c r="C49" s="1">
        <v>10.28</v>
      </c>
      <c r="D49" s="1">
        <v>9.6300000000000008</v>
      </c>
      <c r="E49" s="1">
        <v>9.3000000000000007</v>
      </c>
      <c r="F49" s="1">
        <v>10.220000000000001</v>
      </c>
      <c r="G49" s="1">
        <v>8.8000000000000007</v>
      </c>
      <c r="H49" s="1">
        <v>9.19</v>
      </c>
      <c r="I49" s="1">
        <v>8.19</v>
      </c>
      <c r="J49" s="1">
        <v>11.06</v>
      </c>
      <c r="K49" s="1">
        <v>11.49</v>
      </c>
      <c r="L49" s="1">
        <v>12.19</v>
      </c>
      <c r="M49" s="1">
        <v>13.88</v>
      </c>
      <c r="N49" s="1">
        <v>9.92</v>
      </c>
      <c r="O49" s="1">
        <v>9.51</v>
      </c>
      <c r="P49" t="s">
        <v>25</v>
      </c>
      <c r="Q49" t="s">
        <v>69</v>
      </c>
      <c r="R49" s="1" t="s">
        <v>154</v>
      </c>
      <c r="S49" s="1">
        <f>IFERROR(AVERAGE(Wholesale[[#This Row],[‫دیسمبر‬‏]]:Wholesale[[#This Row],[‫اكتوبر‬‏]]),"")</f>
        <v>9.7166666666666668</v>
      </c>
      <c r="T49" s="1">
        <f>IFERROR(AVERAGE(Wholesale[[#This Row],[‫سبتمبر‬‏]]:Wholesale[[#This Row],[‫یولیو‬‏]]),"")</f>
        <v>8.7266666666666666</v>
      </c>
      <c r="U49" s="1">
        <f>IFERROR(AVERAGE(Wholesale[[#This Row],[‫یونیو‬‏]]:Wholesale[[#This Row],[‫ابریل‬‏]]),"")</f>
        <v>11.58</v>
      </c>
      <c r="V49" s="1">
        <f>IFERROR(AVERAGE(Wholesale[[#This Row],[‫مارس‬‏]]:Wholesale[[#This Row],[‫ینایر‬‏]]),"")</f>
        <v>11.103333333333333</v>
      </c>
    </row>
    <row r="50" spans="1:22" x14ac:dyDescent="0.35">
      <c r="A50" s="1">
        <v>7.3</v>
      </c>
      <c r="B50" s="1">
        <v>7.47</v>
      </c>
      <c r="C50" s="1">
        <v>8.01</v>
      </c>
      <c r="D50" s="1">
        <v>7.96</v>
      </c>
      <c r="E50" s="1">
        <v>8.32</v>
      </c>
      <c r="F50" s="1">
        <v>8.25</v>
      </c>
      <c r="G50" s="1">
        <v>6.95</v>
      </c>
      <c r="H50" s="1">
        <v>6.07</v>
      </c>
      <c r="I50" s="1">
        <v>5.96</v>
      </c>
      <c r="J50" s="1">
        <v>8.27</v>
      </c>
      <c r="K50" s="1">
        <v>9.48</v>
      </c>
      <c r="L50" s="1">
        <v>8.73</v>
      </c>
      <c r="M50" s="1">
        <v>9.51</v>
      </c>
      <c r="N50" s="1">
        <v>8.0500000000000007</v>
      </c>
      <c r="O50" s="1">
        <v>8.6300000000000008</v>
      </c>
      <c r="P50" t="s">
        <v>25</v>
      </c>
      <c r="Q50" t="s">
        <v>70</v>
      </c>
      <c r="R50" s="1" t="s">
        <v>154</v>
      </c>
      <c r="S50" s="1">
        <f>IFERROR(AVERAGE(Wholesale[[#This Row],[‫دیسمبر‬‏]]:Wholesale[[#This Row],[‫اكتوبر‬‏]]),"")</f>
        <v>8.1766666666666676</v>
      </c>
      <c r="T50" s="1">
        <f>IFERROR(AVERAGE(Wholesale[[#This Row],[‫سبتمبر‬‏]]:Wholesale[[#This Row],[‫یولیو‬‏]]),"")</f>
        <v>6.3266666666666671</v>
      </c>
      <c r="U50" s="1">
        <f>IFERROR(AVERAGE(Wholesale[[#This Row],[‫یونیو‬‏]]:Wholesale[[#This Row],[‫ابریل‬‏]]),"")</f>
        <v>8.8266666666666662</v>
      </c>
      <c r="V50" s="1">
        <f>IFERROR(AVERAGE(Wholesale[[#This Row],[‫مارس‬‏]]:Wholesale[[#This Row],[‫ینایر‬‏]]),"")</f>
        <v>8.7300000000000022</v>
      </c>
    </row>
    <row r="51" spans="1:22" x14ac:dyDescent="0.35">
      <c r="A51" s="1">
        <v>16</v>
      </c>
      <c r="B51" s="1">
        <v>12.55</v>
      </c>
      <c r="C51" s="1">
        <v>14.56</v>
      </c>
      <c r="D51" s="1">
        <v>14.64</v>
      </c>
      <c r="E51" s="1">
        <v>14.14</v>
      </c>
      <c r="F51" s="1">
        <v>13.46</v>
      </c>
      <c r="G51" s="1">
        <v>12.81</v>
      </c>
      <c r="H51" s="1">
        <v>12.53</v>
      </c>
      <c r="I51" s="1">
        <v>11.13</v>
      </c>
      <c r="J51" s="1">
        <v>13.6</v>
      </c>
      <c r="K51" s="1">
        <v>14.81</v>
      </c>
      <c r="L51" s="1">
        <v>16.46</v>
      </c>
      <c r="M51" s="1">
        <v>18.8</v>
      </c>
      <c r="N51" s="1">
        <v>16.170000000000002</v>
      </c>
      <c r="O51" s="1">
        <v>16.23</v>
      </c>
      <c r="P51" t="s">
        <v>25</v>
      </c>
      <c r="Q51" t="s">
        <v>171</v>
      </c>
      <c r="R51" s="1" t="s">
        <v>154</v>
      </c>
      <c r="S51" s="1">
        <f>IFERROR(AVERAGE(Wholesale[[#This Row],[‫دیسمبر‬‏]]:Wholesale[[#This Row],[‫اكتوبر‬‏]]),"")</f>
        <v>14.08</v>
      </c>
      <c r="T51" s="1">
        <f>IFERROR(AVERAGE(Wholesale[[#This Row],[‫سبتمبر‬‏]]:Wholesale[[#This Row],[‫یولیو‬‏]]),"")</f>
        <v>12.156666666666666</v>
      </c>
      <c r="U51" s="1">
        <f>IFERROR(AVERAGE(Wholesale[[#This Row],[‫یونیو‬‏]]:Wholesale[[#This Row],[‫ابریل‬‏]]),"")</f>
        <v>14.956666666666669</v>
      </c>
      <c r="V51" s="1">
        <f>IFERROR(AVERAGE(Wholesale[[#This Row],[‫مارس‬‏]]:Wholesale[[#This Row],[‫ینایر‬‏]]),"")</f>
        <v>17.066666666666666</v>
      </c>
    </row>
    <row r="52" spans="1:22" x14ac:dyDescent="0.35">
      <c r="A52" s="1">
        <v>5.0999999999999996</v>
      </c>
      <c r="B52" s="1">
        <v>17.32</v>
      </c>
      <c r="C52" s="1">
        <v>18.2</v>
      </c>
      <c r="D52" s="1">
        <v>15.51</v>
      </c>
      <c r="E52" s="1"/>
      <c r="F52" s="1">
        <v>23</v>
      </c>
      <c r="G52" s="1">
        <v>22</v>
      </c>
      <c r="H52" s="1">
        <v>35.33</v>
      </c>
      <c r="I52" s="1">
        <v>18.100000000000001</v>
      </c>
      <c r="J52" s="1">
        <v>13.35</v>
      </c>
      <c r="K52" s="1">
        <v>14.38</v>
      </c>
      <c r="L52" s="1">
        <v>14.76</v>
      </c>
      <c r="M52" s="1">
        <v>17.829999999999998</v>
      </c>
      <c r="N52" s="1">
        <v>13.67</v>
      </c>
      <c r="O52" s="1">
        <v>12.29</v>
      </c>
      <c r="P52" t="s">
        <v>25</v>
      </c>
      <c r="Q52" t="s">
        <v>72</v>
      </c>
      <c r="R52" s="1" t="s">
        <v>154</v>
      </c>
      <c r="S52" s="1">
        <f>IFERROR(AVERAGE(Wholesale[[#This Row],[‫دیسمبر‬‏]]:Wholesale[[#This Row],[‫اكتوبر‬‏]]),"")</f>
        <v>19.254999999999999</v>
      </c>
      <c r="T52" s="1">
        <f>IFERROR(AVERAGE(Wholesale[[#This Row],[‫سبتمبر‬‏]]:Wholesale[[#This Row],[‫یولیو‬‏]]),"")</f>
        <v>25.143333333333334</v>
      </c>
      <c r="U52" s="1">
        <f>IFERROR(AVERAGE(Wholesale[[#This Row],[‫یونیو‬‏]]:Wholesale[[#This Row],[‫ابریل‬‏]]),"")</f>
        <v>14.163333333333334</v>
      </c>
      <c r="V52" s="1">
        <f>IFERROR(AVERAGE(Wholesale[[#This Row],[‫مارس‬‏]]:Wholesale[[#This Row],[‫ینایر‬‏]]),"")</f>
        <v>14.596666666666666</v>
      </c>
    </row>
    <row r="53" spans="1:22" x14ac:dyDescent="0.35">
      <c r="A53" s="1">
        <v>11.2</v>
      </c>
      <c r="B53" s="1">
        <v>12.1</v>
      </c>
      <c r="C53" s="1">
        <v>13.45</v>
      </c>
      <c r="D53" s="1">
        <v>15.02</v>
      </c>
      <c r="E53" s="1">
        <v>11.18</v>
      </c>
      <c r="F53" s="1">
        <v>14.46</v>
      </c>
      <c r="G53" s="1">
        <v>16.21</v>
      </c>
      <c r="H53" s="1">
        <v>15.37</v>
      </c>
      <c r="I53" s="1">
        <v>11.85</v>
      </c>
      <c r="J53" s="1">
        <v>11.19</v>
      </c>
      <c r="K53" s="1">
        <v>11.71</v>
      </c>
      <c r="L53" s="1">
        <v>11.17</v>
      </c>
      <c r="M53" s="1">
        <v>15.23</v>
      </c>
      <c r="N53" s="1">
        <v>12.77</v>
      </c>
      <c r="O53" s="1">
        <v>15.23</v>
      </c>
      <c r="P53" t="s">
        <v>25</v>
      </c>
      <c r="Q53" t="s">
        <v>73</v>
      </c>
      <c r="R53" s="1" t="s">
        <v>154</v>
      </c>
      <c r="S53" s="1">
        <f>IFERROR(AVERAGE(Wholesale[[#This Row],[‫دیسمبر‬‏]]:Wholesale[[#This Row],[‫اكتوبر‬‏]]),"")</f>
        <v>13.553333333333333</v>
      </c>
      <c r="T53" s="1">
        <f>IFERROR(AVERAGE(Wholesale[[#This Row],[‫سبتمبر‬‏]]:Wholesale[[#This Row],[‫یولیو‬‏]]),"")</f>
        <v>14.476666666666667</v>
      </c>
      <c r="U53" s="1">
        <f>IFERROR(AVERAGE(Wholesale[[#This Row],[‫یونیو‬‏]]:Wholesale[[#This Row],[‫ابریل‬‏]]),"")</f>
        <v>11.356666666666667</v>
      </c>
      <c r="V53" s="1">
        <f>IFERROR(AVERAGE(Wholesale[[#This Row],[‫مارس‬‏]]:Wholesale[[#This Row],[‫ینایر‬‏]]),"")</f>
        <v>14.410000000000002</v>
      </c>
    </row>
    <row r="54" spans="1:22" x14ac:dyDescent="0.35">
      <c r="A54" s="1">
        <v>175</v>
      </c>
      <c r="B54" s="1">
        <v>6.64</v>
      </c>
      <c r="C54" s="1">
        <v>18.260000000000002</v>
      </c>
      <c r="D54" s="1"/>
      <c r="E54" s="1"/>
      <c r="F54" s="1"/>
      <c r="G54" s="1"/>
      <c r="H54" s="1"/>
      <c r="I54" s="1"/>
      <c r="J54" s="1">
        <v>18.98</v>
      </c>
      <c r="K54" s="1">
        <v>17.55</v>
      </c>
      <c r="L54" s="1"/>
      <c r="M54" s="1"/>
      <c r="N54" s="1"/>
      <c r="O54" s="1"/>
      <c r="P54" t="s">
        <v>25</v>
      </c>
      <c r="Q54" t="s">
        <v>74</v>
      </c>
      <c r="R54" s="1" t="s">
        <v>154</v>
      </c>
      <c r="S54" s="1" t="str">
        <f>IFERROR(AVERAGE(Wholesale[[#This Row],[‫دیسمبر‬‏]]:Wholesale[[#This Row],[‫اكتوبر‬‏]]),"")</f>
        <v/>
      </c>
      <c r="T54" s="1" t="str">
        <f>IFERROR(AVERAGE(Wholesale[[#This Row],[‫سبتمبر‬‏]]:Wholesale[[#This Row],[‫یولیو‬‏]]),"")</f>
        <v/>
      </c>
      <c r="U54" s="1">
        <f>IFERROR(AVERAGE(Wholesale[[#This Row],[‫یونیو‬‏]]:Wholesale[[#This Row],[‫ابریل‬‏]]),"")</f>
        <v>18.265000000000001</v>
      </c>
      <c r="V54" s="1" t="str">
        <f>IFERROR(AVERAGE(Wholesale[[#This Row],[‫مارس‬‏]]:Wholesale[[#This Row],[‫ینایر‬‏]]),"")</f>
        <v/>
      </c>
    </row>
    <row r="55" spans="1:22" x14ac:dyDescent="0.35">
      <c r="A55" s="1">
        <v>8.1</v>
      </c>
      <c r="B55" s="1">
        <v>22.25</v>
      </c>
      <c r="C55" s="1">
        <v>24.04</v>
      </c>
      <c r="D55" s="1"/>
      <c r="E55" s="1"/>
      <c r="F55" s="1"/>
      <c r="G55" s="1">
        <v>21.39</v>
      </c>
      <c r="H55" s="1">
        <v>23.38</v>
      </c>
      <c r="I55" s="1">
        <v>24.81</v>
      </c>
      <c r="J55" s="1">
        <v>26.6</v>
      </c>
      <c r="K55" s="1"/>
      <c r="L55" s="1"/>
      <c r="M55" s="1"/>
      <c r="N55" s="1"/>
      <c r="O55" s="1"/>
      <c r="P55" t="s">
        <v>25</v>
      </c>
      <c r="Q55" t="s">
        <v>75</v>
      </c>
      <c r="R55" s="1" t="s">
        <v>154</v>
      </c>
      <c r="S55" s="1" t="str">
        <f>IFERROR(AVERAGE(Wholesale[[#This Row],[‫دیسمبر‬‏]]:Wholesale[[#This Row],[‫اكتوبر‬‏]]),"")</f>
        <v/>
      </c>
      <c r="T55" s="1">
        <f>IFERROR(AVERAGE(Wholesale[[#This Row],[‫سبتمبر‬‏]]:Wholesale[[#This Row],[‫یولیو‬‏]]),"")</f>
        <v>23.193333333333332</v>
      </c>
      <c r="U55" s="1">
        <f>IFERROR(AVERAGE(Wholesale[[#This Row],[‫یونیو‬‏]]:Wholesale[[#This Row],[‫ابریل‬‏]]),"")</f>
        <v>26.6</v>
      </c>
      <c r="V55" s="1" t="str">
        <f>IFERROR(AVERAGE(Wholesale[[#This Row],[‫مارس‬‏]]:Wholesale[[#This Row],[‫ینایر‬‏]]),"")</f>
        <v/>
      </c>
    </row>
    <row r="56" spans="1:22" x14ac:dyDescent="0.35">
      <c r="A56" s="1">
        <v>14.3</v>
      </c>
      <c r="B56" s="1">
        <v>28.81</v>
      </c>
      <c r="C56" s="1">
        <v>32.94</v>
      </c>
      <c r="D56" s="1"/>
      <c r="E56" s="1"/>
      <c r="F56" s="1"/>
      <c r="G56" s="1">
        <v>31.67</v>
      </c>
      <c r="H56" s="1">
        <v>32.880000000000003</v>
      </c>
      <c r="I56" s="1">
        <v>32.26</v>
      </c>
      <c r="J56" s="1">
        <v>34.94</v>
      </c>
      <c r="K56" s="1"/>
      <c r="L56" s="1"/>
      <c r="M56" s="1"/>
      <c r="N56" s="1"/>
      <c r="O56" s="1"/>
      <c r="P56" t="s">
        <v>25</v>
      </c>
      <c r="Q56" t="s">
        <v>76</v>
      </c>
      <c r="R56" s="1" t="s">
        <v>154</v>
      </c>
      <c r="S56" s="1" t="str">
        <f>IFERROR(AVERAGE(Wholesale[[#This Row],[‫دیسمبر‬‏]]:Wholesale[[#This Row],[‫اكتوبر‬‏]]),"")</f>
        <v/>
      </c>
      <c r="T56" s="1">
        <f>IFERROR(AVERAGE(Wholesale[[#This Row],[‫سبتمبر‬‏]]:Wholesale[[#This Row],[‫یولیو‬‏]]),"")</f>
        <v>32.270000000000003</v>
      </c>
      <c r="U56" s="1">
        <f>IFERROR(AVERAGE(Wholesale[[#This Row],[‫یونیو‬‏]]:Wholesale[[#This Row],[‫ابریل‬‏]]),"")</f>
        <v>34.94</v>
      </c>
      <c r="V56" s="1" t="str">
        <f>IFERROR(AVERAGE(Wholesale[[#This Row],[‫مارس‬‏]]:Wholesale[[#This Row],[‫ینایر‬‏]]),"")</f>
        <v/>
      </c>
    </row>
    <row r="57" spans="1:22" x14ac:dyDescent="0.35">
      <c r="A57" s="1">
        <v>43.2</v>
      </c>
      <c r="B57" s="1">
        <v>15.94</v>
      </c>
      <c r="C57" s="1">
        <v>22.83</v>
      </c>
      <c r="D57" s="1">
        <v>24.96</v>
      </c>
      <c r="E57" s="1">
        <v>21.6</v>
      </c>
      <c r="F57" s="1">
        <v>21.25</v>
      </c>
      <c r="G57" s="1">
        <v>22.4</v>
      </c>
      <c r="H57" s="1"/>
      <c r="I57" s="1"/>
      <c r="J57" s="1"/>
      <c r="K57" s="1"/>
      <c r="L57" s="1"/>
      <c r="M57" s="1"/>
      <c r="N57" s="1">
        <v>21.25</v>
      </c>
      <c r="O57" s="1">
        <v>25.5</v>
      </c>
      <c r="P57" t="s">
        <v>25</v>
      </c>
      <c r="Q57" t="s">
        <v>172</v>
      </c>
      <c r="R57" s="1" t="s">
        <v>154</v>
      </c>
      <c r="S57" s="1">
        <f>IFERROR(AVERAGE(Wholesale[[#This Row],[‫دیسمبر‬‏]]:Wholesale[[#This Row],[‫اكتوبر‬‏]]),"")</f>
        <v>22.603333333333335</v>
      </c>
      <c r="T57" s="1">
        <f>IFERROR(AVERAGE(Wholesale[[#This Row],[‫سبتمبر‬‏]]:Wholesale[[#This Row],[‫یولیو‬‏]]),"")</f>
        <v>22.4</v>
      </c>
      <c r="U57" s="1" t="str">
        <f>IFERROR(AVERAGE(Wholesale[[#This Row],[‫یونیو‬‏]]:Wholesale[[#This Row],[‫ابریل‬‏]]),"")</f>
        <v/>
      </c>
      <c r="V57" s="1">
        <f>IFERROR(AVERAGE(Wholesale[[#This Row],[‫مارس‬‏]]:Wholesale[[#This Row],[‫ینایر‬‏]]),"")</f>
        <v>23.375</v>
      </c>
    </row>
    <row r="58" spans="1:22" x14ac:dyDescent="0.35">
      <c r="A58" s="1">
        <v>93.4</v>
      </c>
      <c r="B58" s="1">
        <v>39.47</v>
      </c>
      <c r="C58" s="1">
        <v>76.33</v>
      </c>
      <c r="D58" s="1"/>
      <c r="E58" s="1"/>
      <c r="F58" s="1"/>
      <c r="G58" s="1"/>
      <c r="H58" s="1"/>
      <c r="I58" s="1"/>
      <c r="J58" s="1">
        <v>86.33</v>
      </c>
      <c r="K58" s="1">
        <v>66.33</v>
      </c>
      <c r="L58" s="1"/>
      <c r="M58" s="1"/>
      <c r="N58" s="1"/>
      <c r="O58" s="1"/>
      <c r="P58" t="s">
        <v>25</v>
      </c>
      <c r="Q58" t="s">
        <v>173</v>
      </c>
      <c r="R58" s="1" t="s">
        <v>154</v>
      </c>
      <c r="S58" s="1" t="str">
        <f>IFERROR(AVERAGE(Wholesale[[#This Row],[‫دیسمبر‬‏]]:Wholesale[[#This Row],[‫اكتوبر‬‏]]),"")</f>
        <v/>
      </c>
      <c r="T58" s="1" t="str">
        <f>IFERROR(AVERAGE(Wholesale[[#This Row],[‫سبتمبر‬‏]]:Wholesale[[#This Row],[‫یولیو‬‏]]),"")</f>
        <v/>
      </c>
      <c r="U58" s="1">
        <f>IFERROR(AVERAGE(Wholesale[[#This Row],[‫یونیو‬‏]]:Wholesale[[#This Row],[‫ابریل‬‏]]),"")</f>
        <v>76.33</v>
      </c>
      <c r="V58" s="1" t="str">
        <f>IFERROR(AVERAGE(Wholesale[[#This Row],[‫مارس‬‏]]:Wholesale[[#This Row],[‫ینایر‬‏]]),"")</f>
        <v/>
      </c>
    </row>
    <row r="59" spans="1:22" x14ac:dyDescent="0.35">
      <c r="A59" s="1">
        <v>57.6</v>
      </c>
      <c r="B59" s="1">
        <v>26.87</v>
      </c>
      <c r="C59" s="1">
        <v>42.35</v>
      </c>
      <c r="D59" s="1"/>
      <c r="E59" s="1"/>
      <c r="F59" s="1"/>
      <c r="G59" s="1"/>
      <c r="H59" s="1">
        <v>45.14</v>
      </c>
      <c r="I59" s="1">
        <v>36.92</v>
      </c>
      <c r="J59" s="1">
        <v>36.880000000000003</v>
      </c>
      <c r="K59" s="1">
        <v>50.48</v>
      </c>
      <c r="L59" s="1"/>
      <c r="M59" s="1"/>
      <c r="N59" s="1"/>
      <c r="O59" s="1"/>
      <c r="P59" t="s">
        <v>25</v>
      </c>
      <c r="Q59" t="s">
        <v>79</v>
      </c>
      <c r="R59" s="1" t="s">
        <v>154</v>
      </c>
      <c r="S59" s="1" t="str">
        <f>IFERROR(AVERAGE(Wholesale[[#This Row],[‫دیسمبر‬‏]]:Wholesale[[#This Row],[‫اكتوبر‬‏]]),"")</f>
        <v/>
      </c>
      <c r="T59" s="1">
        <f>IFERROR(AVERAGE(Wholesale[[#This Row],[‫سبتمبر‬‏]]:Wholesale[[#This Row],[‫یولیو‬‏]]),"")</f>
        <v>41.03</v>
      </c>
      <c r="U59" s="1">
        <f>IFERROR(AVERAGE(Wholesale[[#This Row],[‫یونیو‬‏]]:Wholesale[[#This Row],[‫ابریل‬‏]]),"")</f>
        <v>43.68</v>
      </c>
      <c r="V59" s="1" t="str">
        <f>IFERROR(AVERAGE(Wholesale[[#This Row],[‫مارس‬‏]]:Wholesale[[#This Row],[‫ینایر‬‏]]),"")</f>
        <v/>
      </c>
    </row>
    <row r="60" spans="1:22" x14ac:dyDescent="0.35">
      <c r="A60" s="1">
        <v>72.900000000000006</v>
      </c>
      <c r="B60" s="1">
        <v>32.53</v>
      </c>
      <c r="C60" s="1">
        <v>56.25</v>
      </c>
      <c r="D60" s="1"/>
      <c r="E60" s="1"/>
      <c r="F60" s="1"/>
      <c r="G60" s="1"/>
      <c r="H60" s="1"/>
      <c r="I60" s="1">
        <v>55</v>
      </c>
      <c r="J60" s="1">
        <v>57.5</v>
      </c>
      <c r="K60" s="1"/>
      <c r="L60" s="1"/>
      <c r="M60" s="1"/>
      <c r="N60" s="1"/>
      <c r="O60" s="1"/>
      <c r="P60" t="s">
        <v>25</v>
      </c>
      <c r="Q60" t="s">
        <v>80</v>
      </c>
      <c r="R60" s="1" t="s">
        <v>154</v>
      </c>
      <c r="S60" s="1" t="str">
        <f>IFERROR(AVERAGE(Wholesale[[#This Row],[‫دیسمبر‬‏]]:Wholesale[[#This Row],[‫اكتوبر‬‏]]),"")</f>
        <v/>
      </c>
      <c r="T60" s="1">
        <f>IFERROR(AVERAGE(Wholesale[[#This Row],[‫سبتمبر‬‏]]:Wholesale[[#This Row],[‫یولیو‬‏]]),"")</f>
        <v>55</v>
      </c>
      <c r="U60" s="1">
        <f>IFERROR(AVERAGE(Wholesale[[#This Row],[‫یونیو‬‏]]:Wholesale[[#This Row],[‫ابریل‬‏]]),"")</f>
        <v>57.5</v>
      </c>
      <c r="V60" s="1" t="str">
        <f>IFERROR(AVERAGE(Wholesale[[#This Row],[‫مارس‬‏]]:Wholesale[[#This Row],[‫ینایر‬‏]]),"")</f>
        <v/>
      </c>
    </row>
    <row r="61" spans="1:22" x14ac:dyDescent="0.35">
      <c r="A61" s="1">
        <v>40.6</v>
      </c>
      <c r="B61" s="1">
        <v>39.119999999999997</v>
      </c>
      <c r="C61" s="1">
        <v>55.01</v>
      </c>
      <c r="D61" s="1"/>
      <c r="E61" s="1"/>
      <c r="F61" s="1"/>
      <c r="G61" s="1"/>
      <c r="H61" s="1"/>
      <c r="I61" s="1">
        <v>53.97</v>
      </c>
      <c r="J61" s="1">
        <v>56.06</v>
      </c>
      <c r="K61" s="1"/>
      <c r="L61" s="1"/>
      <c r="M61" s="1"/>
      <c r="N61" s="1"/>
      <c r="O61" s="1"/>
      <c r="P61" t="s">
        <v>25</v>
      </c>
      <c r="Q61" t="s">
        <v>81</v>
      </c>
      <c r="R61" s="1" t="s">
        <v>154</v>
      </c>
      <c r="S61" s="1" t="str">
        <f>IFERROR(AVERAGE(Wholesale[[#This Row],[‫دیسمبر‬‏]]:Wholesale[[#This Row],[‫اكتوبر‬‏]]),"")</f>
        <v/>
      </c>
      <c r="T61" s="1">
        <f>IFERROR(AVERAGE(Wholesale[[#This Row],[‫سبتمبر‬‏]]:Wholesale[[#This Row],[‫یولیو‬‏]]),"")</f>
        <v>53.97</v>
      </c>
      <c r="U61" s="1">
        <f>IFERROR(AVERAGE(Wholesale[[#This Row],[‫یونیو‬‏]]:Wholesale[[#This Row],[‫ابریل‬‏]]),"")</f>
        <v>56.06</v>
      </c>
      <c r="V61" s="1" t="str">
        <f>IFERROR(AVERAGE(Wholesale[[#This Row],[‫مارس‬‏]]:Wholesale[[#This Row],[‫ینایر‬‏]]),"")</f>
        <v/>
      </c>
    </row>
    <row r="62" spans="1:22" x14ac:dyDescent="0.35">
      <c r="A62" s="1">
        <v>75.5</v>
      </c>
      <c r="B62" s="1">
        <v>17.07</v>
      </c>
      <c r="C62" s="1">
        <v>29.95</v>
      </c>
      <c r="D62" s="1"/>
      <c r="E62" s="1"/>
      <c r="F62" s="1"/>
      <c r="G62" s="1"/>
      <c r="H62" s="1"/>
      <c r="I62" s="1">
        <v>40</v>
      </c>
      <c r="J62" s="1">
        <v>35.33</v>
      </c>
      <c r="K62" s="1">
        <v>27.67</v>
      </c>
      <c r="L62" s="1">
        <v>24.19</v>
      </c>
      <c r="M62" s="1">
        <v>24.24</v>
      </c>
      <c r="N62" s="1">
        <v>28.3</v>
      </c>
      <c r="O62" s="1"/>
      <c r="P62" t="s">
        <v>25</v>
      </c>
      <c r="Q62" t="s">
        <v>82</v>
      </c>
      <c r="R62" s="1" t="s">
        <v>154</v>
      </c>
      <c r="S62" s="1" t="str">
        <f>IFERROR(AVERAGE(Wholesale[[#This Row],[‫دیسمبر‬‏]]:Wholesale[[#This Row],[‫اكتوبر‬‏]]),"")</f>
        <v/>
      </c>
      <c r="T62" s="1">
        <f>IFERROR(AVERAGE(Wholesale[[#This Row],[‫سبتمبر‬‏]]:Wholesale[[#This Row],[‫یولیو‬‏]]),"")</f>
        <v>40</v>
      </c>
      <c r="U62" s="1">
        <f>IFERROR(AVERAGE(Wholesale[[#This Row],[‫یونیو‬‏]]:Wholesale[[#This Row],[‫ابریل‬‏]]),"")</f>
        <v>29.063333333333333</v>
      </c>
      <c r="V62" s="1">
        <f>IFERROR(AVERAGE(Wholesale[[#This Row],[‫مارس‬‏]]:Wholesale[[#This Row],[‫ینایر‬‏]]),"")</f>
        <v>26.27</v>
      </c>
    </row>
    <row r="63" spans="1:22" x14ac:dyDescent="0.35">
      <c r="A63" s="1">
        <v>8.1999999999999993</v>
      </c>
      <c r="B63" s="1">
        <v>39.090000000000003</v>
      </c>
      <c r="C63" s="1">
        <v>42.28</v>
      </c>
      <c r="D63" s="1"/>
      <c r="E63" s="1"/>
      <c r="F63" s="1"/>
      <c r="G63" s="1"/>
      <c r="H63" s="1">
        <v>39.479999999999997</v>
      </c>
      <c r="I63" s="1">
        <v>40.11</v>
      </c>
      <c r="J63" s="1">
        <v>43.33</v>
      </c>
      <c r="K63" s="1">
        <v>46.2</v>
      </c>
      <c r="L63" s="1"/>
      <c r="M63" s="1"/>
      <c r="N63" s="1"/>
      <c r="O63" s="1"/>
      <c r="P63" t="s">
        <v>25</v>
      </c>
      <c r="Q63" t="s">
        <v>83</v>
      </c>
      <c r="R63" s="1" t="s">
        <v>154</v>
      </c>
      <c r="S63" s="1" t="str">
        <f>IFERROR(AVERAGE(Wholesale[[#This Row],[‫دیسمبر‬‏]]:Wholesale[[#This Row],[‫اكتوبر‬‏]]),"")</f>
        <v/>
      </c>
      <c r="T63" s="1">
        <f>IFERROR(AVERAGE(Wholesale[[#This Row],[‫سبتمبر‬‏]]:Wholesale[[#This Row],[‫یولیو‬‏]]),"")</f>
        <v>39.795000000000002</v>
      </c>
      <c r="U63" s="1">
        <f>IFERROR(AVERAGE(Wholesale[[#This Row],[‫یونیو‬‏]]:Wholesale[[#This Row],[‫ابریل‬‏]]),"")</f>
        <v>44.765000000000001</v>
      </c>
      <c r="V63" s="1" t="str">
        <f>IFERROR(AVERAGE(Wholesale[[#This Row],[‫مارس‬‏]]:Wholesale[[#This Row],[‫ینایر‬‏]]),"")</f>
        <v/>
      </c>
    </row>
    <row r="64" spans="1:22" x14ac:dyDescent="0.35">
      <c r="A64" s="1">
        <v>39.4</v>
      </c>
      <c r="B64" s="1">
        <v>11.26</v>
      </c>
      <c r="C64" s="1">
        <v>15.69</v>
      </c>
      <c r="D64" s="1"/>
      <c r="E64" s="1"/>
      <c r="F64" s="1"/>
      <c r="G64" s="1"/>
      <c r="H64" s="1">
        <v>13.51</v>
      </c>
      <c r="I64" s="1">
        <v>15.75</v>
      </c>
      <c r="J64" s="1">
        <v>15.91</v>
      </c>
      <c r="K64" s="1">
        <v>15.09</v>
      </c>
      <c r="L64" s="1">
        <v>18.21</v>
      </c>
      <c r="M64" s="1"/>
      <c r="N64" s="1"/>
      <c r="O64" s="1"/>
      <c r="P64" t="s">
        <v>25</v>
      </c>
      <c r="Q64" t="s">
        <v>84</v>
      </c>
      <c r="R64" s="1" t="s">
        <v>154</v>
      </c>
      <c r="S64" s="1" t="str">
        <f>IFERROR(AVERAGE(Wholesale[[#This Row],[‫دیسمبر‬‏]]:Wholesale[[#This Row],[‫اكتوبر‬‏]]),"")</f>
        <v/>
      </c>
      <c r="T64" s="1">
        <f>IFERROR(AVERAGE(Wholesale[[#This Row],[‫سبتمبر‬‏]]:Wholesale[[#This Row],[‫یولیو‬‏]]),"")</f>
        <v>14.629999999999999</v>
      </c>
      <c r="U64" s="1">
        <f>IFERROR(AVERAGE(Wholesale[[#This Row],[‫یونیو‬‏]]:Wholesale[[#This Row],[‫ابریل‬‏]]),"")</f>
        <v>16.403333333333332</v>
      </c>
      <c r="V64" s="1" t="str">
        <f>IFERROR(AVERAGE(Wholesale[[#This Row],[‫مارس‬‏]]:Wholesale[[#This Row],[‫ینایر‬‏]]),"")</f>
        <v/>
      </c>
    </row>
    <row r="65" spans="1:22" x14ac:dyDescent="0.35">
      <c r="A65" s="1">
        <v>8.4</v>
      </c>
      <c r="B65" s="1">
        <v>33.82</v>
      </c>
      <c r="C65" s="1">
        <v>36.67</v>
      </c>
      <c r="D65" s="1"/>
      <c r="E65" s="1"/>
      <c r="F65" s="1">
        <v>39.71</v>
      </c>
      <c r="G65" s="1">
        <v>35.28</v>
      </c>
      <c r="H65" s="1">
        <v>35.020000000000003</v>
      </c>
      <c r="I65" s="1"/>
      <c r="J65" s="1"/>
      <c r="K65" s="1"/>
      <c r="L65" s="1"/>
      <c r="M65" s="1"/>
      <c r="N65" s="1"/>
      <c r="O65" s="1"/>
      <c r="P65" t="s">
        <v>25</v>
      </c>
      <c r="Q65" t="s">
        <v>86</v>
      </c>
      <c r="R65" s="1" t="s">
        <v>154</v>
      </c>
      <c r="S65" s="1">
        <f>IFERROR(AVERAGE(Wholesale[[#This Row],[‫دیسمبر‬‏]]:Wholesale[[#This Row],[‫اكتوبر‬‏]]),"")</f>
        <v>39.71</v>
      </c>
      <c r="T65" s="1">
        <f>IFERROR(AVERAGE(Wholesale[[#This Row],[‫سبتمبر‬‏]]:Wholesale[[#This Row],[‫یولیو‬‏]]),"")</f>
        <v>35.150000000000006</v>
      </c>
      <c r="U65" s="1" t="str">
        <f>IFERROR(AVERAGE(Wholesale[[#This Row],[‫یونیو‬‏]]:Wholesale[[#This Row],[‫ابریل‬‏]]),"")</f>
        <v/>
      </c>
      <c r="V65" s="1" t="str">
        <f>IFERROR(AVERAGE(Wholesale[[#This Row],[‫مارس‬‏]]:Wholesale[[#This Row],[‫ینایر‬‏]]),"")</f>
        <v/>
      </c>
    </row>
    <row r="66" spans="1:22" x14ac:dyDescent="0.35">
      <c r="A66" s="1">
        <v>15.2</v>
      </c>
      <c r="B66" s="1">
        <v>25.47</v>
      </c>
      <c r="C66" s="1">
        <v>29.35</v>
      </c>
      <c r="D66" s="1"/>
      <c r="E66" s="1"/>
      <c r="F66" s="1">
        <v>27.6</v>
      </c>
      <c r="G66" s="1">
        <v>27.56</v>
      </c>
      <c r="H66" s="1">
        <v>26.63</v>
      </c>
      <c r="I66" s="1">
        <v>35.61</v>
      </c>
      <c r="J66" s="1"/>
      <c r="K66" s="1"/>
      <c r="L66" s="1"/>
      <c r="M66" s="1"/>
      <c r="N66" s="1"/>
      <c r="O66" s="1"/>
      <c r="P66" t="s">
        <v>25</v>
      </c>
      <c r="Q66" t="s">
        <v>87</v>
      </c>
      <c r="R66" s="1" t="s">
        <v>154</v>
      </c>
      <c r="S66" s="1">
        <f>IFERROR(AVERAGE(Wholesale[[#This Row],[‫دیسمبر‬‏]]:Wholesale[[#This Row],[‫اكتوبر‬‏]]),"")</f>
        <v>27.6</v>
      </c>
      <c r="T66" s="1">
        <f>IFERROR(AVERAGE(Wholesale[[#This Row],[‫سبتمبر‬‏]]:Wholesale[[#This Row],[‫یولیو‬‏]]),"")</f>
        <v>29.933333333333334</v>
      </c>
      <c r="U66" s="1" t="str">
        <f>IFERROR(AVERAGE(Wholesale[[#This Row],[‫یونیو‬‏]]:Wholesale[[#This Row],[‫ابریل‬‏]]),"")</f>
        <v/>
      </c>
      <c r="V66" s="1" t="str">
        <f>IFERROR(AVERAGE(Wholesale[[#This Row],[‫مارس‬‏]]:Wholesale[[#This Row],[‫ینایر‬‏]]),"")</f>
        <v/>
      </c>
    </row>
    <row r="67" spans="1:22" x14ac:dyDescent="0.35">
      <c r="A67" s="1">
        <v>32.28</v>
      </c>
      <c r="B67" s="1">
        <v>22.73</v>
      </c>
      <c r="C67" s="1">
        <v>30.07</v>
      </c>
      <c r="D67" s="1"/>
      <c r="E67" s="1"/>
      <c r="F67" s="1"/>
      <c r="G67" s="1">
        <v>26</v>
      </c>
      <c r="H67" s="1">
        <v>34.130000000000003</v>
      </c>
      <c r="I67" s="1"/>
      <c r="J67" s="1"/>
      <c r="K67" s="1"/>
      <c r="L67" s="1"/>
      <c r="M67" s="1"/>
      <c r="N67" s="1"/>
      <c r="O67" s="1"/>
      <c r="P67" t="s">
        <v>25</v>
      </c>
      <c r="Q67" t="s">
        <v>88</v>
      </c>
      <c r="R67" s="1" t="s">
        <v>154</v>
      </c>
      <c r="S67" s="1" t="str">
        <f>IFERROR(AVERAGE(Wholesale[[#This Row],[‫دیسمبر‬‏]]:Wholesale[[#This Row],[‫اكتوبر‬‏]]),"")</f>
        <v/>
      </c>
      <c r="T67" s="1">
        <f>IFERROR(AVERAGE(Wholesale[[#This Row],[‫سبتمبر‬‏]]:Wholesale[[#This Row],[‫یولیو‬‏]]),"")</f>
        <v>30.065000000000001</v>
      </c>
      <c r="U67" s="1" t="str">
        <f>IFERROR(AVERAGE(Wholesale[[#This Row],[‫یونیو‬‏]]:Wholesale[[#This Row],[‫ابریل‬‏]]),"")</f>
        <v/>
      </c>
      <c r="V67" s="1" t="str">
        <f>IFERROR(AVERAGE(Wholesale[[#This Row],[‫مارس‬‏]]:Wholesale[[#This Row],[‫ینایر‬‏]]),"")</f>
        <v/>
      </c>
    </row>
    <row r="68" spans="1:22" x14ac:dyDescent="0.35">
      <c r="A68" s="1">
        <v>16.399999999999999</v>
      </c>
      <c r="B68" s="1">
        <v>30.37</v>
      </c>
      <c r="C68" s="1">
        <v>35.36</v>
      </c>
      <c r="D68" s="1"/>
      <c r="E68" s="1"/>
      <c r="F68" s="1"/>
      <c r="G68" s="1">
        <v>32.39</v>
      </c>
      <c r="H68" s="1">
        <v>38.33</v>
      </c>
      <c r="I68" s="1"/>
      <c r="J68" s="1"/>
      <c r="K68" s="1"/>
      <c r="L68" s="1"/>
      <c r="M68" s="1"/>
      <c r="N68" s="1"/>
      <c r="O68" s="1"/>
      <c r="P68" t="s">
        <v>25</v>
      </c>
      <c r="Q68" t="s">
        <v>89</v>
      </c>
      <c r="R68" s="1" t="s">
        <v>154</v>
      </c>
      <c r="S68" s="1" t="str">
        <f>IFERROR(AVERAGE(Wholesale[[#This Row],[‫دیسمبر‬‏]]:Wholesale[[#This Row],[‫اكتوبر‬‏]]),"")</f>
        <v/>
      </c>
      <c r="T68" s="1">
        <f>IFERROR(AVERAGE(Wholesale[[#This Row],[‫سبتمبر‬‏]]:Wholesale[[#This Row],[‫یولیو‬‏]]),"")</f>
        <v>35.36</v>
      </c>
      <c r="U68" s="1" t="str">
        <f>IFERROR(AVERAGE(Wholesale[[#This Row],[‫یونیو‬‏]]:Wholesale[[#This Row],[‫ابریل‬‏]]),"")</f>
        <v/>
      </c>
      <c r="V68" s="1" t="str">
        <f>IFERROR(AVERAGE(Wholesale[[#This Row],[‫مارس‬‏]]:Wholesale[[#This Row],[‫ینایر‬‏]]),"")</f>
        <v/>
      </c>
    </row>
    <row r="69" spans="1:22" x14ac:dyDescent="0.35">
      <c r="A69" s="1">
        <v>60.13</v>
      </c>
      <c r="B69" s="1">
        <v>23.19</v>
      </c>
      <c r="C69" s="1">
        <v>37.14</v>
      </c>
      <c r="D69" s="1"/>
      <c r="E69" s="1"/>
      <c r="F69" s="1"/>
      <c r="G69" s="1">
        <v>38.21</v>
      </c>
      <c r="H69" s="1">
        <v>36.07</v>
      </c>
      <c r="I69" s="1"/>
      <c r="J69" s="1"/>
      <c r="K69" s="1"/>
      <c r="L69" s="1"/>
      <c r="M69" s="1"/>
      <c r="N69" s="1"/>
      <c r="O69" s="1"/>
      <c r="P69" t="s">
        <v>25</v>
      </c>
      <c r="Q69" t="s">
        <v>90</v>
      </c>
      <c r="R69" s="1" t="s">
        <v>154</v>
      </c>
      <c r="S69" s="1" t="str">
        <f>IFERROR(AVERAGE(Wholesale[[#This Row],[‫دیسمبر‬‏]]:Wholesale[[#This Row],[‫اكتوبر‬‏]]),"")</f>
        <v/>
      </c>
      <c r="T69" s="1">
        <f>IFERROR(AVERAGE(Wholesale[[#This Row],[‫سبتمبر‬‏]]:Wholesale[[#This Row],[‫یولیو‬‏]]),"")</f>
        <v>37.14</v>
      </c>
      <c r="U69" s="1" t="str">
        <f>IFERROR(AVERAGE(Wholesale[[#This Row],[‫یونیو‬‏]]:Wholesale[[#This Row],[‫ابریل‬‏]]),"")</f>
        <v/>
      </c>
      <c r="V69" s="1" t="str">
        <f>IFERROR(AVERAGE(Wholesale[[#This Row],[‫مارس‬‏]]:Wholesale[[#This Row],[‫ینایر‬‏]]),"")</f>
        <v/>
      </c>
    </row>
    <row r="70" spans="1:22" x14ac:dyDescent="0.35">
      <c r="A70" s="1">
        <v>53.8</v>
      </c>
      <c r="B70" s="1">
        <v>23.75</v>
      </c>
      <c r="C70" s="1">
        <v>36.53</v>
      </c>
      <c r="D70" s="1"/>
      <c r="E70" s="1"/>
      <c r="F70" s="1"/>
      <c r="G70" s="1">
        <v>35</v>
      </c>
      <c r="H70" s="1">
        <v>38.049999999999997</v>
      </c>
      <c r="I70" s="1"/>
      <c r="J70" s="1"/>
      <c r="K70" s="1"/>
      <c r="L70" s="1"/>
      <c r="M70" s="1"/>
      <c r="N70" s="1"/>
      <c r="O70" s="1"/>
      <c r="P70" t="s">
        <v>25</v>
      </c>
      <c r="Q70" t="s">
        <v>91</v>
      </c>
      <c r="R70" s="1" t="s">
        <v>154</v>
      </c>
      <c r="S70" s="1" t="str">
        <f>IFERROR(AVERAGE(Wholesale[[#This Row],[‫دیسمبر‬‏]]:Wholesale[[#This Row],[‫اكتوبر‬‏]]),"")</f>
        <v/>
      </c>
      <c r="T70" s="1">
        <f>IFERROR(AVERAGE(Wholesale[[#This Row],[‫سبتمبر‬‏]]:Wholesale[[#This Row],[‫یولیو‬‏]]),"")</f>
        <v>36.524999999999999</v>
      </c>
      <c r="U70" s="1" t="str">
        <f>IFERROR(AVERAGE(Wholesale[[#This Row],[‫یونیو‬‏]]:Wholesale[[#This Row],[‫ابریل‬‏]]),"")</f>
        <v/>
      </c>
      <c r="V70" s="1" t="str">
        <f>IFERROR(AVERAGE(Wholesale[[#This Row],[‫مارس‬‏]]:Wholesale[[#This Row],[‫ینایر‬‏]]),"")</f>
        <v/>
      </c>
    </row>
    <row r="71" spans="1:22" x14ac:dyDescent="0.35">
      <c r="A71" s="1">
        <v>57.7</v>
      </c>
      <c r="B71" s="1">
        <v>16.55</v>
      </c>
      <c r="C71" s="1">
        <v>26.09</v>
      </c>
      <c r="D71" s="1">
        <v>23.98</v>
      </c>
      <c r="E71" s="1">
        <v>23.9</v>
      </c>
      <c r="F71" s="1">
        <v>22.82</v>
      </c>
      <c r="G71" s="1">
        <v>29.44</v>
      </c>
      <c r="H71" s="1">
        <v>30.29</v>
      </c>
      <c r="I71" s="1"/>
      <c r="J71" s="1"/>
      <c r="K71" s="1"/>
      <c r="L71" s="1"/>
      <c r="M71" s="1"/>
      <c r="N71" s="1"/>
      <c r="O71" s="1"/>
      <c r="P71" t="s">
        <v>25</v>
      </c>
      <c r="Q71" t="s">
        <v>92</v>
      </c>
      <c r="R71" s="1" t="s">
        <v>154</v>
      </c>
      <c r="S71" s="1">
        <f>IFERROR(AVERAGE(Wholesale[[#This Row],[‫دیسمبر‬‏]]:Wholesale[[#This Row],[‫اكتوبر‬‏]]),"")</f>
        <v>23.566666666666663</v>
      </c>
      <c r="T71" s="1">
        <f>IFERROR(AVERAGE(Wholesale[[#This Row],[‫سبتمبر‬‏]]:Wholesale[[#This Row],[‫یولیو‬‏]]),"")</f>
        <v>29.865000000000002</v>
      </c>
      <c r="U71" s="1" t="str">
        <f>IFERROR(AVERAGE(Wholesale[[#This Row],[‫یونیو‬‏]]:Wholesale[[#This Row],[‫ابریل‬‏]]),"")</f>
        <v/>
      </c>
      <c r="V71" s="1" t="str">
        <f>IFERROR(AVERAGE(Wholesale[[#This Row],[‫مارس‬‏]]:Wholesale[[#This Row],[‫ینایر‬‏]]),"")</f>
        <v/>
      </c>
    </row>
    <row r="72" spans="1:22" x14ac:dyDescent="0.35">
      <c r="A72" s="1">
        <v>39.9</v>
      </c>
      <c r="B72" s="1">
        <v>16.12</v>
      </c>
      <c r="C72" s="1">
        <v>22.55</v>
      </c>
      <c r="D72" s="1">
        <v>24.22</v>
      </c>
      <c r="E72" s="1">
        <v>22.8</v>
      </c>
      <c r="F72" s="1">
        <v>21.25</v>
      </c>
      <c r="G72" s="1">
        <v>21.92</v>
      </c>
      <c r="H72" s="1"/>
      <c r="I72" s="1"/>
      <c r="J72" s="1"/>
      <c r="K72" s="1"/>
      <c r="L72" s="1"/>
      <c r="M72" s="1"/>
      <c r="N72" s="1"/>
      <c r="O72" s="1"/>
      <c r="P72" t="s">
        <v>25</v>
      </c>
      <c r="Q72" t="s">
        <v>93</v>
      </c>
      <c r="R72" s="1" t="s">
        <v>154</v>
      </c>
      <c r="S72" s="1">
        <f>IFERROR(AVERAGE(Wholesale[[#This Row],[‫دیسمبر‬‏]]:Wholesale[[#This Row],[‫اكتوبر‬‏]]),"")</f>
        <v>22.756666666666664</v>
      </c>
      <c r="T72" s="1">
        <f>IFERROR(AVERAGE(Wholesale[[#This Row],[‫سبتمبر‬‏]]:Wholesale[[#This Row],[‫یولیو‬‏]]),"")</f>
        <v>21.92</v>
      </c>
      <c r="U72" s="1" t="str">
        <f>IFERROR(AVERAGE(Wholesale[[#This Row],[‫یونیو‬‏]]:Wholesale[[#This Row],[‫ابریل‬‏]]),"")</f>
        <v/>
      </c>
      <c r="V72" s="1" t="str">
        <f>IFERROR(AVERAGE(Wholesale[[#This Row],[‫مارس‬‏]]:Wholesale[[#This Row],[‫ینایر‬‏]]),"")</f>
        <v/>
      </c>
    </row>
    <row r="73" spans="1:22" x14ac:dyDescent="0.35">
      <c r="A73" s="1">
        <v>30.5</v>
      </c>
      <c r="B73" s="1">
        <v>15.01</v>
      </c>
      <c r="C73" s="1">
        <v>19.600000000000001</v>
      </c>
      <c r="D73" s="1">
        <v>20</v>
      </c>
      <c r="E73" s="1">
        <v>15.5</v>
      </c>
      <c r="F73" s="1">
        <v>22.89</v>
      </c>
      <c r="G73" s="1">
        <v>20</v>
      </c>
      <c r="H73" s="1"/>
      <c r="I73" s="1"/>
      <c r="J73" s="1"/>
      <c r="K73" s="1"/>
      <c r="L73" s="1"/>
      <c r="M73" s="1"/>
      <c r="N73" s="1"/>
      <c r="O73" s="1"/>
      <c r="P73" t="s">
        <v>25</v>
      </c>
      <c r="Q73" t="s">
        <v>94</v>
      </c>
      <c r="R73" s="1" t="s">
        <v>154</v>
      </c>
      <c r="S73" s="1">
        <f>IFERROR(AVERAGE(Wholesale[[#This Row],[‫دیسمبر‬‏]]:Wholesale[[#This Row],[‫اكتوبر‬‏]]),"")</f>
        <v>19.463333333333335</v>
      </c>
      <c r="T73" s="1">
        <f>IFERROR(AVERAGE(Wholesale[[#This Row],[‫سبتمبر‬‏]]:Wholesale[[#This Row],[‫یولیو‬‏]]),"")</f>
        <v>20</v>
      </c>
      <c r="U73" s="1" t="str">
        <f>IFERROR(AVERAGE(Wholesale[[#This Row],[‫یونیو‬‏]]:Wholesale[[#This Row],[‫ابریل‬‏]]),"")</f>
        <v/>
      </c>
      <c r="V73" s="1" t="str">
        <f>IFERROR(AVERAGE(Wholesale[[#This Row],[‫مارس‬‏]]:Wholesale[[#This Row],[‫ینایر‬‏]]),"")</f>
        <v/>
      </c>
    </row>
    <row r="74" spans="1:22" x14ac:dyDescent="0.35">
      <c r="A74" s="1">
        <v>67.7</v>
      </c>
      <c r="B74" s="1">
        <v>15.04</v>
      </c>
      <c r="C74" s="1">
        <v>25.23</v>
      </c>
      <c r="D74" s="1">
        <v>22.33</v>
      </c>
      <c r="E74" s="1">
        <v>25.24</v>
      </c>
      <c r="F74" s="1">
        <v>26.9</v>
      </c>
      <c r="G74" s="1">
        <v>21.65</v>
      </c>
      <c r="H74" s="1">
        <v>30</v>
      </c>
      <c r="I74" s="1"/>
      <c r="J74" s="1"/>
      <c r="K74" s="1"/>
      <c r="L74" s="1"/>
      <c r="M74" s="1"/>
      <c r="N74" s="1"/>
      <c r="O74" s="1"/>
      <c r="P74" t="s">
        <v>25</v>
      </c>
      <c r="Q74" t="s">
        <v>95</v>
      </c>
      <c r="R74" s="1" t="s">
        <v>154</v>
      </c>
      <c r="S74" s="1">
        <f>IFERROR(AVERAGE(Wholesale[[#This Row],[‫دیسمبر‬‏]]:Wholesale[[#This Row],[‫اكتوبر‬‏]]),"")</f>
        <v>24.823333333333334</v>
      </c>
      <c r="T74" s="1">
        <f>IFERROR(AVERAGE(Wholesale[[#This Row],[‫سبتمبر‬‏]]:Wholesale[[#This Row],[‫یولیو‬‏]]),"")</f>
        <v>25.824999999999999</v>
      </c>
      <c r="U74" s="1" t="str">
        <f>IFERROR(AVERAGE(Wholesale[[#This Row],[‫یونیو‬‏]]:Wholesale[[#This Row],[‫ابریل‬‏]]),"")</f>
        <v/>
      </c>
      <c r="V74" s="1" t="str">
        <f>IFERROR(AVERAGE(Wholesale[[#This Row],[‫مارس‬‏]]:Wholesale[[#This Row],[‫ینایر‬‏]]),"")</f>
        <v/>
      </c>
    </row>
    <row r="75" spans="1:22" x14ac:dyDescent="0.35">
      <c r="A75" s="1">
        <v>13.7</v>
      </c>
      <c r="B75" s="1">
        <v>52.12</v>
      </c>
      <c r="C75" s="1">
        <v>59.25</v>
      </c>
      <c r="D75" s="1">
        <v>57.5</v>
      </c>
      <c r="E75" s="1">
        <v>58.33</v>
      </c>
      <c r="F75" s="1">
        <v>59.72</v>
      </c>
      <c r="G75" s="1">
        <v>55.78</v>
      </c>
      <c r="H75" s="1">
        <v>64.92</v>
      </c>
      <c r="I75" s="1"/>
      <c r="J75" s="1"/>
      <c r="K75" s="1"/>
      <c r="L75" s="1"/>
      <c r="M75" s="1"/>
      <c r="N75" s="1"/>
      <c r="O75" s="1"/>
      <c r="P75" t="s">
        <v>25</v>
      </c>
      <c r="Q75" t="s">
        <v>96</v>
      </c>
      <c r="R75" s="1" t="s">
        <v>154</v>
      </c>
      <c r="S75" s="1">
        <f>IFERROR(AVERAGE(Wholesale[[#This Row],[‫دیسمبر‬‏]]:Wholesale[[#This Row],[‫اكتوبر‬‏]]),"")</f>
        <v>58.516666666666673</v>
      </c>
      <c r="T75" s="1">
        <f>IFERROR(AVERAGE(Wholesale[[#This Row],[‫سبتمبر‬‏]]:Wholesale[[#This Row],[‫یولیو‬‏]]),"")</f>
        <v>60.35</v>
      </c>
      <c r="U75" s="1" t="str">
        <f>IFERROR(AVERAGE(Wholesale[[#This Row],[‫یونیو‬‏]]:Wholesale[[#This Row],[‫ابریل‬‏]]),"")</f>
        <v/>
      </c>
      <c r="V75" s="1" t="str">
        <f>IFERROR(AVERAGE(Wholesale[[#This Row],[‫مارس‬‏]]:Wholesale[[#This Row],[‫ینایر‬‏]]),"")</f>
        <v/>
      </c>
    </row>
    <row r="76" spans="1:22" x14ac:dyDescent="0.35">
      <c r="A76" s="1">
        <v>26.8</v>
      </c>
      <c r="B76" s="1">
        <v>47.21</v>
      </c>
      <c r="C76" s="1">
        <v>59.84</v>
      </c>
      <c r="D76" s="1">
        <v>62.5</v>
      </c>
      <c r="E76" s="1">
        <v>61.67</v>
      </c>
      <c r="F76" s="1">
        <v>59.22</v>
      </c>
      <c r="G76" s="1">
        <v>52.5</v>
      </c>
      <c r="H76" s="1">
        <v>63.33</v>
      </c>
      <c r="I76" s="1"/>
      <c r="J76" s="1"/>
      <c r="K76" s="1"/>
      <c r="L76" s="1"/>
      <c r="M76" s="1"/>
      <c r="N76" s="1"/>
      <c r="O76" s="1"/>
      <c r="P76" t="s">
        <v>25</v>
      </c>
      <c r="Q76" t="s">
        <v>97</v>
      </c>
      <c r="R76" s="1" t="s">
        <v>154</v>
      </c>
      <c r="S76" s="1">
        <f>IFERROR(AVERAGE(Wholesale[[#This Row],[‫دیسمبر‬‏]]:Wholesale[[#This Row],[‫اكتوبر‬‏]]),"")</f>
        <v>61.129999999999995</v>
      </c>
      <c r="T76" s="1">
        <f>IFERROR(AVERAGE(Wholesale[[#This Row],[‫سبتمبر‬‏]]:Wholesale[[#This Row],[‫یولیو‬‏]]),"")</f>
        <v>57.914999999999999</v>
      </c>
      <c r="U76" s="1" t="str">
        <f>IFERROR(AVERAGE(Wholesale[[#This Row],[‫یونیو‬‏]]:Wholesale[[#This Row],[‫ابریل‬‏]]),"")</f>
        <v/>
      </c>
      <c r="V76" s="1" t="str">
        <f>IFERROR(AVERAGE(Wholesale[[#This Row],[‫مارس‬‏]]:Wholesale[[#This Row],[‫ینایر‬‏]]),"")</f>
        <v/>
      </c>
    </row>
    <row r="77" spans="1:22" x14ac:dyDescent="0.35">
      <c r="A77" s="1">
        <v>1.2</v>
      </c>
      <c r="B77" s="1">
        <v>298.89</v>
      </c>
      <c r="C77" s="1">
        <v>302.37</v>
      </c>
      <c r="D77" s="1">
        <v>301.33</v>
      </c>
      <c r="E77" s="1">
        <v>303.33</v>
      </c>
      <c r="F77" s="1">
        <v>303.67</v>
      </c>
      <c r="G77" s="1">
        <v>303.67</v>
      </c>
      <c r="H77" s="1">
        <v>303.67</v>
      </c>
      <c r="I77" s="1">
        <v>306.33</v>
      </c>
      <c r="J77" s="1">
        <v>305.42</v>
      </c>
      <c r="K77" s="1">
        <v>302.33</v>
      </c>
      <c r="L77" s="1">
        <v>300.33</v>
      </c>
      <c r="M77" s="1">
        <v>299.33</v>
      </c>
      <c r="N77" s="1">
        <v>298.33</v>
      </c>
      <c r="O77" s="1">
        <v>300.67</v>
      </c>
      <c r="P77" t="s">
        <v>25</v>
      </c>
      <c r="Q77" t="s">
        <v>98</v>
      </c>
      <c r="R77" s="1" t="s">
        <v>154</v>
      </c>
      <c r="S77" s="1">
        <f>IFERROR(AVERAGE(Wholesale[[#This Row],[‫دیسمبر‬‏]]:Wholesale[[#This Row],[‫اكتوبر‬‏]]),"")</f>
        <v>302.77666666666664</v>
      </c>
      <c r="T77" s="1">
        <f>IFERROR(AVERAGE(Wholesale[[#This Row],[‫سبتمبر‬‏]]:Wholesale[[#This Row],[‫یولیو‬‏]]),"")</f>
        <v>304.55666666666667</v>
      </c>
      <c r="U77" s="1">
        <f>IFERROR(AVERAGE(Wholesale[[#This Row],[‫یونیو‬‏]]:Wholesale[[#This Row],[‫ابریل‬‏]]),"")</f>
        <v>302.69333333333333</v>
      </c>
      <c r="V77" s="1">
        <f>IFERROR(AVERAGE(Wholesale[[#This Row],[‫مارس‬‏]]:Wholesale[[#This Row],[‫ینایر‬‏]]),"")</f>
        <v>299.44333333333333</v>
      </c>
    </row>
    <row r="78" spans="1:22" x14ac:dyDescent="0.35">
      <c r="A78" s="1">
        <v>3.8</v>
      </c>
      <c r="B78" s="1">
        <v>246.39</v>
      </c>
      <c r="C78" s="1">
        <v>255.86</v>
      </c>
      <c r="D78" s="1">
        <v>255.42</v>
      </c>
      <c r="E78" s="1">
        <v>255.42</v>
      </c>
      <c r="F78" s="1">
        <v>257.08</v>
      </c>
      <c r="G78" s="1">
        <v>257.08</v>
      </c>
      <c r="H78" s="1">
        <v>257.08</v>
      </c>
      <c r="I78" s="1">
        <v>258.33</v>
      </c>
      <c r="J78" s="1">
        <v>264.44</v>
      </c>
      <c r="K78" s="1">
        <v>256.67</v>
      </c>
      <c r="L78" s="1">
        <v>246.67</v>
      </c>
      <c r="M78" s="1">
        <v>251.67</v>
      </c>
      <c r="N78" s="1">
        <v>251.67</v>
      </c>
      <c r="O78" s="1">
        <v>258.75</v>
      </c>
      <c r="P78" t="s">
        <v>25</v>
      </c>
      <c r="Q78" t="s">
        <v>99</v>
      </c>
      <c r="R78" s="1" t="s">
        <v>154</v>
      </c>
      <c r="S78" s="1">
        <f>IFERROR(AVERAGE(Wholesale[[#This Row],[‫دیسمبر‬‏]]:Wholesale[[#This Row],[‫اكتوبر‬‏]]),"")</f>
        <v>255.97333333333333</v>
      </c>
      <c r="T78" s="1">
        <f>IFERROR(AVERAGE(Wholesale[[#This Row],[‫سبتمبر‬‏]]:Wholesale[[#This Row],[‫یولیو‬‏]]),"")</f>
        <v>257.49666666666667</v>
      </c>
      <c r="U78" s="1">
        <f>IFERROR(AVERAGE(Wholesale[[#This Row],[‫یونیو‬‏]]:Wholesale[[#This Row],[‫ابریل‬‏]]),"")</f>
        <v>255.92666666666665</v>
      </c>
      <c r="V78" s="1">
        <f>IFERROR(AVERAGE(Wholesale[[#This Row],[‫مارس‬‏]]:Wholesale[[#This Row],[‫ینایر‬‏]]),"")</f>
        <v>254.02999999999997</v>
      </c>
    </row>
    <row r="79" spans="1:22" x14ac:dyDescent="0.35">
      <c r="A79" s="1">
        <v>8.1999999999999993</v>
      </c>
      <c r="B79" s="1">
        <v>295.83</v>
      </c>
      <c r="C79" s="1">
        <v>320</v>
      </c>
      <c r="D79" s="1">
        <v>320</v>
      </c>
      <c r="E79" s="1">
        <v>320</v>
      </c>
      <c r="F79" s="1">
        <v>320</v>
      </c>
      <c r="G79" s="1">
        <v>320</v>
      </c>
      <c r="H79" s="1">
        <v>320</v>
      </c>
      <c r="I79" s="1">
        <v>320</v>
      </c>
      <c r="J79" s="1">
        <v>320</v>
      </c>
      <c r="K79" s="1">
        <v>320</v>
      </c>
      <c r="L79" s="1">
        <v>320</v>
      </c>
      <c r="M79" s="1">
        <v>320</v>
      </c>
      <c r="N79" s="1">
        <v>320</v>
      </c>
      <c r="O79" s="1">
        <v>320</v>
      </c>
      <c r="P79" t="s">
        <v>25</v>
      </c>
      <c r="Q79" t="s">
        <v>100</v>
      </c>
      <c r="R79" s="1" t="s">
        <v>154</v>
      </c>
      <c r="S79" s="1">
        <f>IFERROR(AVERAGE(Wholesale[[#This Row],[‫دیسمبر‬‏]]:Wholesale[[#This Row],[‫اكتوبر‬‏]]),"")</f>
        <v>320</v>
      </c>
      <c r="T79" s="1">
        <f>IFERROR(AVERAGE(Wholesale[[#This Row],[‫سبتمبر‬‏]]:Wholesale[[#This Row],[‫یولیو‬‏]]),"")</f>
        <v>320</v>
      </c>
      <c r="U79" s="1">
        <f>IFERROR(AVERAGE(Wholesale[[#This Row],[‫یونیو‬‏]]:Wholesale[[#This Row],[‫ابریل‬‏]]),"")</f>
        <v>320</v>
      </c>
      <c r="V79" s="1">
        <f>IFERROR(AVERAGE(Wholesale[[#This Row],[‫مارس‬‏]]:Wholesale[[#This Row],[‫ینایر‬‏]]),"")</f>
        <v>320</v>
      </c>
    </row>
    <row r="80" spans="1:22" x14ac:dyDescent="0.35">
      <c r="A80" s="1">
        <v>-14</v>
      </c>
      <c r="B80" s="1">
        <v>263.77</v>
      </c>
      <c r="C80" s="1">
        <v>226.94</v>
      </c>
      <c r="D80" s="1">
        <v>227.5</v>
      </c>
      <c r="E80" s="1">
        <v>220.83</v>
      </c>
      <c r="F80" s="1">
        <v>227.5</v>
      </c>
      <c r="G80" s="1">
        <v>227.5</v>
      </c>
      <c r="H80" s="1">
        <v>227.5</v>
      </c>
      <c r="I80" s="1">
        <v>220.83</v>
      </c>
      <c r="J80" s="1">
        <v>225</v>
      </c>
      <c r="K80" s="1">
        <v>258.33</v>
      </c>
      <c r="L80" s="1">
        <v>220</v>
      </c>
      <c r="M80" s="1">
        <v>223.33</v>
      </c>
      <c r="N80" s="1">
        <v>221.67</v>
      </c>
      <c r="O80" s="1">
        <v>223.33</v>
      </c>
      <c r="P80" t="s">
        <v>25</v>
      </c>
      <c r="Q80" t="s">
        <v>101</v>
      </c>
      <c r="R80" s="1" t="s">
        <v>154</v>
      </c>
      <c r="S80" s="1">
        <f>IFERROR(AVERAGE(Wholesale[[#This Row],[‫دیسمبر‬‏]]:Wholesale[[#This Row],[‫اكتوبر‬‏]]),"")</f>
        <v>225.27666666666667</v>
      </c>
      <c r="T80" s="1">
        <f>IFERROR(AVERAGE(Wholesale[[#This Row],[‫سبتمبر‬‏]]:Wholesale[[#This Row],[‫یولیو‬‏]]),"")</f>
        <v>225.27666666666667</v>
      </c>
      <c r="U80" s="1">
        <f>IFERROR(AVERAGE(Wholesale[[#This Row],[‫یونیو‬‏]]:Wholesale[[#This Row],[‫ابریل‬‏]]),"")</f>
        <v>234.4433333333333</v>
      </c>
      <c r="V80" s="1">
        <f>IFERROR(AVERAGE(Wholesale[[#This Row],[‫مارس‬‏]]:Wholesale[[#This Row],[‫ینایر‬‏]]),"")</f>
        <v>222.77666666666667</v>
      </c>
    </row>
    <row r="81" spans="1:22" x14ac:dyDescent="0.35">
      <c r="A81" s="1">
        <v>6.9</v>
      </c>
      <c r="B81" s="1">
        <v>202.08</v>
      </c>
      <c r="C81" s="1">
        <v>216.11</v>
      </c>
      <c r="D81" s="1">
        <v>206.67</v>
      </c>
      <c r="E81" s="1">
        <v>206.67</v>
      </c>
      <c r="F81" s="1">
        <v>206.67</v>
      </c>
      <c r="G81" s="1">
        <v>211.67</v>
      </c>
      <c r="H81" s="1">
        <v>221.67</v>
      </c>
      <c r="I81" s="1">
        <v>230</v>
      </c>
      <c r="J81" s="1">
        <v>190</v>
      </c>
      <c r="K81" s="1">
        <v>235</v>
      </c>
      <c r="L81" s="1">
        <v>215</v>
      </c>
      <c r="M81" s="1">
        <v>225</v>
      </c>
      <c r="N81" s="1">
        <v>225</v>
      </c>
      <c r="O81" s="1">
        <v>220</v>
      </c>
      <c r="P81" t="s">
        <v>25</v>
      </c>
      <c r="Q81" t="s">
        <v>102</v>
      </c>
      <c r="R81" s="1" t="s">
        <v>154</v>
      </c>
      <c r="S81" s="1">
        <f>IFERROR(AVERAGE(Wholesale[[#This Row],[‫دیسمبر‬‏]]:Wholesale[[#This Row],[‫اكتوبر‬‏]]),"")</f>
        <v>206.67</v>
      </c>
      <c r="T81" s="1">
        <f>IFERROR(AVERAGE(Wholesale[[#This Row],[‫سبتمبر‬‏]]:Wholesale[[#This Row],[‫یولیو‬‏]]),"")</f>
        <v>221.11333333333332</v>
      </c>
      <c r="U81" s="1">
        <f>IFERROR(AVERAGE(Wholesale[[#This Row],[‫یونیو‬‏]]:Wholesale[[#This Row],[‫ابریل‬‏]]),"")</f>
        <v>213.33333333333334</v>
      </c>
      <c r="V81" s="1">
        <f>IFERROR(AVERAGE(Wholesale[[#This Row],[‫مارس‬‏]]:Wholesale[[#This Row],[‫ینایر‬‏]]),"")</f>
        <v>223.33333333333334</v>
      </c>
    </row>
    <row r="82" spans="1:22" x14ac:dyDescent="0.35">
      <c r="A82" s="1">
        <v>4.8</v>
      </c>
      <c r="B82" s="1">
        <v>408.99</v>
      </c>
      <c r="C82" s="1">
        <v>428.63</v>
      </c>
      <c r="D82" s="1">
        <v>440.42</v>
      </c>
      <c r="E82" s="1">
        <v>424.76</v>
      </c>
      <c r="F82" s="1">
        <v>424.76</v>
      </c>
      <c r="G82" s="1">
        <v>420.48</v>
      </c>
      <c r="H82" s="1">
        <v>436.67</v>
      </c>
      <c r="I82" s="1">
        <v>420.48</v>
      </c>
      <c r="J82" s="1">
        <v>420.48</v>
      </c>
      <c r="K82" s="1">
        <v>433.75</v>
      </c>
      <c r="L82" s="1">
        <v>433.75</v>
      </c>
      <c r="M82" s="1">
        <v>439.67</v>
      </c>
      <c r="N82" s="1">
        <v>424.17</v>
      </c>
      <c r="O82" s="1">
        <v>424.17</v>
      </c>
      <c r="P82" t="s">
        <v>25</v>
      </c>
      <c r="Q82" t="s">
        <v>174</v>
      </c>
      <c r="R82" s="1" t="s">
        <v>154</v>
      </c>
      <c r="S82" s="1">
        <f>IFERROR(AVERAGE(Wholesale[[#This Row],[‫دیسمبر‬‏]]:Wholesale[[#This Row],[‫اكتوبر‬‏]]),"")</f>
        <v>429.98</v>
      </c>
      <c r="T82" s="1">
        <f>IFERROR(AVERAGE(Wholesale[[#This Row],[‫سبتمبر‬‏]]:Wholesale[[#This Row],[‫یولیو‬‏]]),"")</f>
        <v>425.87666666666672</v>
      </c>
      <c r="U82" s="1">
        <f>IFERROR(AVERAGE(Wholesale[[#This Row],[‫یونیو‬‏]]:Wholesale[[#This Row],[‫ابریل‬‏]]),"")</f>
        <v>429.32666666666665</v>
      </c>
      <c r="V82" s="1">
        <f>IFERROR(AVERAGE(Wholesale[[#This Row],[‫مارس‬‏]]:Wholesale[[#This Row],[‫ینایر‬‏]]),"")</f>
        <v>429.33666666666664</v>
      </c>
    </row>
    <row r="83" spans="1:22" x14ac:dyDescent="0.35">
      <c r="A83" s="1">
        <v>35.33</v>
      </c>
      <c r="B83" s="1">
        <v>160.69999999999999</v>
      </c>
      <c r="C83" s="1">
        <v>217.48</v>
      </c>
      <c r="D83" s="1">
        <v>225.33</v>
      </c>
      <c r="E83" s="1">
        <v>234.81</v>
      </c>
      <c r="F83" s="1">
        <v>234.81</v>
      </c>
      <c r="G83" s="1">
        <v>233.7</v>
      </c>
      <c r="H83" s="1">
        <v>223.33</v>
      </c>
      <c r="I83" s="1">
        <v>233.7</v>
      </c>
      <c r="J83" s="1">
        <v>233.15</v>
      </c>
      <c r="K83" s="1">
        <v>222.33</v>
      </c>
      <c r="L83" s="1">
        <v>221.33</v>
      </c>
      <c r="M83" s="1">
        <v>182.41</v>
      </c>
      <c r="N83" s="1">
        <v>182.41</v>
      </c>
      <c r="O83" s="1">
        <v>182.4</v>
      </c>
      <c r="P83" t="s">
        <v>25</v>
      </c>
      <c r="Q83" t="s">
        <v>175</v>
      </c>
      <c r="R83" s="1" t="s">
        <v>154</v>
      </c>
      <c r="S83" s="1">
        <f>IFERROR(AVERAGE(Wholesale[[#This Row],[‫دیسمبر‬‏]]:Wholesale[[#This Row],[‫اكتوبر‬‏]]),"")</f>
        <v>231.65</v>
      </c>
      <c r="T83" s="1">
        <f>IFERROR(AVERAGE(Wholesale[[#This Row],[‫سبتمبر‬‏]]:Wholesale[[#This Row],[‫یولیو‬‏]]),"")</f>
        <v>230.24333333333334</v>
      </c>
      <c r="U83" s="1">
        <f>IFERROR(AVERAGE(Wholesale[[#This Row],[‫یونیو‬‏]]:Wholesale[[#This Row],[‫ابریل‬‏]]),"")</f>
        <v>225.60333333333335</v>
      </c>
      <c r="V83" s="1">
        <f>IFERROR(AVERAGE(Wholesale[[#This Row],[‫مارس‬‏]]:Wholesale[[#This Row],[‫ینایر‬‏]]),"")</f>
        <v>182.40666666666667</v>
      </c>
    </row>
    <row r="84" spans="1:22" x14ac:dyDescent="0.35">
      <c r="A84" s="1">
        <v>69.27</v>
      </c>
      <c r="B84" s="1">
        <v>122.71</v>
      </c>
      <c r="C84" s="1">
        <v>207.71</v>
      </c>
      <c r="D84" s="1">
        <v>152.5</v>
      </c>
      <c r="E84" s="1">
        <v>285</v>
      </c>
      <c r="F84" s="1">
        <v>285</v>
      </c>
      <c r="G84" s="1">
        <v>285</v>
      </c>
      <c r="H84" s="1">
        <v>152.5</v>
      </c>
      <c r="I84" s="1">
        <v>285</v>
      </c>
      <c r="J84" s="1">
        <v>285</v>
      </c>
      <c r="K84" s="1">
        <v>152.5</v>
      </c>
      <c r="L84" s="1">
        <v>152.5</v>
      </c>
      <c r="M84" s="1">
        <v>152.5</v>
      </c>
      <c r="N84" s="1">
        <v>152.5</v>
      </c>
      <c r="O84" s="1">
        <v>152.5</v>
      </c>
      <c r="P84" t="s">
        <v>25</v>
      </c>
      <c r="Q84" t="s">
        <v>176</v>
      </c>
      <c r="R84" s="1" t="s">
        <v>154</v>
      </c>
      <c r="S84" s="1">
        <f>IFERROR(AVERAGE(Wholesale[[#This Row],[‫دیسمبر‬‏]]:Wholesale[[#This Row],[‫اكتوبر‬‏]]),"")</f>
        <v>240.83333333333334</v>
      </c>
      <c r="T84" s="1">
        <f>IFERROR(AVERAGE(Wholesale[[#This Row],[‫سبتمبر‬‏]]:Wholesale[[#This Row],[‫یولیو‬‏]]),"")</f>
        <v>240.83333333333334</v>
      </c>
      <c r="U84" s="1">
        <f>IFERROR(AVERAGE(Wholesale[[#This Row],[‫یونیو‬‏]]:Wholesale[[#This Row],[‫ابریل‬‏]]),"")</f>
        <v>196.66666666666666</v>
      </c>
      <c r="V84" s="1">
        <f>IFERROR(AVERAGE(Wholesale[[#This Row],[‫مارس‬‏]]:Wholesale[[#This Row],[‫ینایر‬‏]]),"")</f>
        <v>152.5</v>
      </c>
    </row>
    <row r="85" spans="1:22" x14ac:dyDescent="0.35">
      <c r="A85" s="1">
        <v>61.86</v>
      </c>
      <c r="B85" s="1">
        <v>113.36</v>
      </c>
      <c r="C85" s="1">
        <v>184.28</v>
      </c>
      <c r="D85" s="1">
        <v>193.33</v>
      </c>
      <c r="E85" s="1">
        <v>177.5</v>
      </c>
      <c r="F85" s="1">
        <v>177.5</v>
      </c>
      <c r="G85" s="1">
        <v>176.25</v>
      </c>
      <c r="H85" s="1">
        <v>191.67</v>
      </c>
      <c r="I85" s="1">
        <v>176.25</v>
      </c>
      <c r="J85" s="1">
        <v>191.67</v>
      </c>
      <c r="K85" s="1">
        <v>191.67</v>
      </c>
      <c r="L85" s="1">
        <v>185</v>
      </c>
      <c r="M85" s="1">
        <v>185</v>
      </c>
      <c r="N85" s="1">
        <v>185</v>
      </c>
      <c r="O85" s="1">
        <v>180.56</v>
      </c>
      <c r="P85" t="s">
        <v>25</v>
      </c>
      <c r="Q85" t="s">
        <v>177</v>
      </c>
      <c r="R85" s="1" t="s">
        <v>154</v>
      </c>
      <c r="S85" s="1">
        <f>IFERROR(AVERAGE(Wholesale[[#This Row],[‫دیسمبر‬‏]]:Wholesale[[#This Row],[‫اكتوبر‬‏]]),"")</f>
        <v>182.77666666666667</v>
      </c>
      <c r="T85" s="1">
        <f>IFERROR(AVERAGE(Wholesale[[#This Row],[‫سبتمبر‬‏]]:Wholesale[[#This Row],[‫یولیو‬‏]]),"")</f>
        <v>181.39</v>
      </c>
      <c r="U85" s="1">
        <f>IFERROR(AVERAGE(Wholesale[[#This Row],[‫یونیو‬‏]]:Wholesale[[#This Row],[‫ابریل‬‏]]),"")</f>
        <v>189.44666666666663</v>
      </c>
      <c r="V85" s="1">
        <f>IFERROR(AVERAGE(Wholesale[[#This Row],[‫مارس‬‏]]:Wholesale[[#This Row],[‫ینایر‬‏]]),"")</f>
        <v>183.51999999999998</v>
      </c>
    </row>
    <row r="86" spans="1:22" x14ac:dyDescent="0.35">
      <c r="A86" s="1">
        <v>1.8</v>
      </c>
      <c r="B86" s="1">
        <v>133.57</v>
      </c>
      <c r="C86" s="1">
        <v>135.97</v>
      </c>
      <c r="D86" s="1">
        <v>148.91999999999999</v>
      </c>
      <c r="E86" s="1">
        <v>138.91999999999999</v>
      </c>
      <c r="F86" s="1">
        <v>138.33000000000001</v>
      </c>
      <c r="G86" s="1">
        <v>139.16999999999999</v>
      </c>
      <c r="H86" s="1">
        <v>121.67</v>
      </c>
      <c r="I86" s="1">
        <v>130.41999999999999</v>
      </c>
      <c r="J86" s="1">
        <v>132.11000000000001</v>
      </c>
      <c r="K86" s="1">
        <v>135</v>
      </c>
      <c r="L86" s="1">
        <v>134.16999999999999</v>
      </c>
      <c r="M86" s="1">
        <v>135</v>
      </c>
      <c r="N86" s="1">
        <v>135</v>
      </c>
      <c r="O86" s="1">
        <v>143</v>
      </c>
      <c r="P86" t="s">
        <v>25</v>
      </c>
      <c r="Q86" t="s">
        <v>103</v>
      </c>
      <c r="R86" s="1" t="s">
        <v>154</v>
      </c>
      <c r="S86" s="1">
        <f>IFERROR(AVERAGE(Wholesale[[#This Row],[‫دیسمبر‬‏]]:Wholesale[[#This Row],[‫اكتوبر‬‏]]),"")</f>
        <v>142.05666666666664</v>
      </c>
      <c r="T86" s="1">
        <f>IFERROR(AVERAGE(Wholesale[[#This Row],[‫سبتمبر‬‏]]:Wholesale[[#This Row],[‫یولیو‬‏]]),"")</f>
        <v>130.41999999999999</v>
      </c>
      <c r="U86" s="1">
        <f>IFERROR(AVERAGE(Wholesale[[#This Row],[‫یونیو‬‏]]:Wholesale[[#This Row],[‫ابریل‬‏]]),"")</f>
        <v>133.76</v>
      </c>
      <c r="V86" s="1">
        <f>IFERROR(AVERAGE(Wholesale[[#This Row],[‫مارس‬‏]]:Wholesale[[#This Row],[‫ینایر‬‏]]),"")</f>
        <v>137.66666666666666</v>
      </c>
    </row>
    <row r="87" spans="1:22" x14ac:dyDescent="0.35">
      <c r="A87" s="1">
        <v>5.19</v>
      </c>
      <c r="B87" s="1">
        <v>94.73</v>
      </c>
      <c r="C87" s="1">
        <v>100.33</v>
      </c>
      <c r="D87" s="1">
        <v>98.83</v>
      </c>
      <c r="E87" s="1">
        <v>98.83</v>
      </c>
      <c r="F87" s="1">
        <v>99.17</v>
      </c>
      <c r="G87" s="1">
        <v>99.17</v>
      </c>
      <c r="H87" s="1">
        <v>99.17</v>
      </c>
      <c r="I87" s="1">
        <v>99.17</v>
      </c>
      <c r="J87" s="1">
        <v>102.04</v>
      </c>
      <c r="K87" s="1">
        <v>102.64</v>
      </c>
      <c r="L87" s="1">
        <v>102.11</v>
      </c>
      <c r="M87" s="1">
        <v>102.81</v>
      </c>
      <c r="N87" s="1">
        <v>102.5</v>
      </c>
      <c r="O87" s="1">
        <v>97.5</v>
      </c>
      <c r="P87" t="s">
        <v>25</v>
      </c>
      <c r="Q87" t="s">
        <v>104</v>
      </c>
      <c r="R87" s="1" t="s">
        <v>154</v>
      </c>
      <c r="S87" s="1">
        <f>IFERROR(AVERAGE(Wholesale[[#This Row],[‫دیسمبر‬‏]]:Wholesale[[#This Row],[‫اكتوبر‬‏]]),"")</f>
        <v>98.943333333333328</v>
      </c>
      <c r="T87" s="1">
        <f>IFERROR(AVERAGE(Wholesale[[#This Row],[‫سبتمبر‬‏]]:Wholesale[[#This Row],[‫یولیو‬‏]]),"")</f>
        <v>99.17</v>
      </c>
      <c r="U87" s="1">
        <f>IFERROR(AVERAGE(Wholesale[[#This Row],[‫یونیو‬‏]]:Wholesale[[#This Row],[‫ابریل‬‏]]),"")</f>
        <v>102.26333333333334</v>
      </c>
      <c r="V87" s="1">
        <f>IFERROR(AVERAGE(Wholesale[[#This Row],[‫مارس‬‏]]:Wholesale[[#This Row],[‫ینایر‬‏]]),"")</f>
        <v>100.93666666666667</v>
      </c>
    </row>
    <row r="88" spans="1:22" x14ac:dyDescent="0.35">
      <c r="A88" s="1">
        <v>3.6</v>
      </c>
      <c r="B88" s="1">
        <v>103.09</v>
      </c>
      <c r="C88" s="1">
        <v>106.8</v>
      </c>
      <c r="D88" s="1">
        <v>102.61</v>
      </c>
      <c r="E88" s="1">
        <v>106.61</v>
      </c>
      <c r="F88" s="1">
        <v>106.22</v>
      </c>
      <c r="G88" s="1">
        <v>105.67</v>
      </c>
      <c r="H88" s="1">
        <v>106.78</v>
      </c>
      <c r="I88" s="1">
        <v>107.56</v>
      </c>
      <c r="J88" s="1">
        <v>109.61</v>
      </c>
      <c r="K88" s="1">
        <v>109.94</v>
      </c>
      <c r="L88" s="1">
        <v>108.28</v>
      </c>
      <c r="M88" s="1">
        <v>108.44</v>
      </c>
      <c r="N88" s="1">
        <v>106.83</v>
      </c>
      <c r="O88" s="1">
        <v>103.06</v>
      </c>
      <c r="P88" t="s">
        <v>25</v>
      </c>
      <c r="Q88" t="s">
        <v>105</v>
      </c>
      <c r="R88" s="1" t="s">
        <v>154</v>
      </c>
      <c r="S88" s="1">
        <f>IFERROR(AVERAGE(Wholesale[[#This Row],[‫دیسمبر‬‏]]:Wholesale[[#This Row],[‫اكتوبر‬‏]]),"")</f>
        <v>105.14666666666666</v>
      </c>
      <c r="T88" s="1">
        <f>IFERROR(AVERAGE(Wholesale[[#This Row],[‫سبتمبر‬‏]]:Wholesale[[#This Row],[‫یولیو‬‏]]),"")</f>
        <v>106.67</v>
      </c>
      <c r="U88" s="1">
        <f>IFERROR(AVERAGE(Wholesale[[#This Row],[‫یونیو‬‏]]:Wholesale[[#This Row],[‫ابریل‬‏]]),"")</f>
        <v>109.27666666666669</v>
      </c>
      <c r="V88" s="1">
        <f>IFERROR(AVERAGE(Wholesale[[#This Row],[‫مارس‬‏]]:Wholesale[[#This Row],[‫ینایر‬‏]]),"")</f>
        <v>106.11</v>
      </c>
    </row>
    <row r="89" spans="1:22" x14ac:dyDescent="0.35">
      <c r="A89" s="1">
        <v>5.3</v>
      </c>
      <c r="B89" s="1">
        <v>74.81</v>
      </c>
      <c r="C89" s="1">
        <v>78.760000000000005</v>
      </c>
      <c r="D89" s="1">
        <v>66.599999999999994</v>
      </c>
      <c r="E89" s="1">
        <v>69.069999999999993</v>
      </c>
      <c r="F89" s="1">
        <v>70.400000000000006</v>
      </c>
      <c r="G89" s="1">
        <v>70.95</v>
      </c>
      <c r="H89" s="1">
        <v>69.900000000000006</v>
      </c>
      <c r="I89" s="1">
        <v>72.05</v>
      </c>
      <c r="J89" s="1">
        <v>84.88</v>
      </c>
      <c r="K89" s="1">
        <v>89.24</v>
      </c>
      <c r="L89" s="1">
        <v>83.24</v>
      </c>
      <c r="M89" s="1">
        <v>93.9</v>
      </c>
      <c r="N89" s="1">
        <v>90.33</v>
      </c>
      <c r="O89" s="1">
        <v>84.52</v>
      </c>
      <c r="P89" t="s">
        <v>25</v>
      </c>
      <c r="Q89" t="s">
        <v>106</v>
      </c>
      <c r="R89" s="1" t="s">
        <v>154</v>
      </c>
      <c r="S89" s="1">
        <f>IFERROR(AVERAGE(Wholesale[[#This Row],[‫دیسمبر‬‏]]:Wholesale[[#This Row],[‫اكتوبر‬‏]]),"")</f>
        <v>68.69</v>
      </c>
      <c r="T89" s="1">
        <f>IFERROR(AVERAGE(Wholesale[[#This Row],[‫سبتمبر‬‏]]:Wholesale[[#This Row],[‫یولیو‬‏]]),"")</f>
        <v>70.966666666666683</v>
      </c>
      <c r="U89" s="1">
        <f>IFERROR(AVERAGE(Wholesale[[#This Row],[‫یونیو‬‏]]:Wholesale[[#This Row],[‫ابریل‬‏]]),"")</f>
        <v>85.786666666666676</v>
      </c>
      <c r="V89" s="1">
        <f>IFERROR(AVERAGE(Wholesale[[#This Row],[‫مارس‬‏]]:Wholesale[[#This Row],[‫ینایر‬‏]]),"")</f>
        <v>89.583333333333329</v>
      </c>
    </row>
    <row r="90" spans="1:22" x14ac:dyDescent="0.35">
      <c r="A90" s="1">
        <v>-0.2</v>
      </c>
      <c r="B90" s="1">
        <v>116.85</v>
      </c>
      <c r="C90" s="1">
        <v>116.6</v>
      </c>
      <c r="D90" s="1">
        <v>110.27</v>
      </c>
      <c r="E90" s="1">
        <v>110.93</v>
      </c>
      <c r="F90" s="1">
        <v>112.93</v>
      </c>
      <c r="G90" s="1">
        <v>115.93</v>
      </c>
      <c r="H90" s="1">
        <v>116.6</v>
      </c>
      <c r="I90" s="1">
        <v>114.27</v>
      </c>
      <c r="J90" s="1">
        <v>119.6</v>
      </c>
      <c r="K90" s="1">
        <v>118.87</v>
      </c>
      <c r="L90" s="1">
        <v>119.53</v>
      </c>
      <c r="M90" s="1">
        <v>120.2</v>
      </c>
      <c r="N90" s="1">
        <v>120.2</v>
      </c>
      <c r="O90" s="1">
        <v>119.87</v>
      </c>
      <c r="P90" t="s">
        <v>25</v>
      </c>
      <c r="Q90" t="s">
        <v>107</v>
      </c>
      <c r="R90" s="1" t="s">
        <v>154</v>
      </c>
      <c r="S90" s="1">
        <f>IFERROR(AVERAGE(Wholesale[[#This Row],[‫دیسمبر‬‏]]:Wholesale[[#This Row],[‫اكتوبر‬‏]]),"")</f>
        <v>111.37666666666667</v>
      </c>
      <c r="T90" s="1">
        <f>IFERROR(AVERAGE(Wholesale[[#This Row],[‫سبتمبر‬‏]]:Wholesale[[#This Row],[‫یولیو‬‏]]),"")</f>
        <v>115.60000000000001</v>
      </c>
      <c r="U90" s="1">
        <f>IFERROR(AVERAGE(Wholesale[[#This Row],[‫یونیو‬‏]]:Wholesale[[#This Row],[‫ابریل‬‏]]),"")</f>
        <v>119.33333333333333</v>
      </c>
      <c r="V90" s="1">
        <f>IFERROR(AVERAGE(Wholesale[[#This Row],[‫مارس‬‏]]:Wholesale[[#This Row],[‫ینایر‬‏]]),"")</f>
        <v>120.08999999999999</v>
      </c>
    </row>
    <row r="91" spans="1:22" x14ac:dyDescent="0.35">
      <c r="A91" s="1">
        <v>0.5</v>
      </c>
      <c r="B91" s="1">
        <v>116.92</v>
      </c>
      <c r="C91" s="1">
        <v>117.51</v>
      </c>
      <c r="D91" s="1">
        <v>119.92</v>
      </c>
      <c r="E91" s="1">
        <v>118.75</v>
      </c>
      <c r="F91" s="1">
        <v>118.25</v>
      </c>
      <c r="G91" s="1">
        <v>118.42</v>
      </c>
      <c r="H91" s="1">
        <v>118.25</v>
      </c>
      <c r="I91" s="1">
        <v>117.28</v>
      </c>
      <c r="J91" s="1">
        <v>117.92</v>
      </c>
      <c r="K91" s="1">
        <v>116.75</v>
      </c>
      <c r="L91" s="1">
        <v>116.83</v>
      </c>
      <c r="M91" s="1">
        <v>116.17</v>
      </c>
      <c r="N91" s="1">
        <v>115.75</v>
      </c>
      <c r="O91" s="1">
        <v>115.83</v>
      </c>
      <c r="P91" t="s">
        <v>25</v>
      </c>
      <c r="Q91" t="s">
        <v>108</v>
      </c>
      <c r="R91" s="1" t="s">
        <v>154</v>
      </c>
      <c r="S91" s="1">
        <f>IFERROR(AVERAGE(Wholesale[[#This Row],[‫دیسمبر‬‏]]:Wholesale[[#This Row],[‫اكتوبر‬‏]]),"")</f>
        <v>118.97333333333334</v>
      </c>
      <c r="T91" s="1">
        <f>IFERROR(AVERAGE(Wholesale[[#This Row],[‫سبتمبر‬‏]]:Wholesale[[#This Row],[‫یولیو‬‏]]),"")</f>
        <v>117.98333333333335</v>
      </c>
      <c r="U91" s="1">
        <f>IFERROR(AVERAGE(Wholesale[[#This Row],[‫یونیو‬‏]]:Wholesale[[#This Row],[‫ابریل‬‏]]),"")</f>
        <v>117.16666666666667</v>
      </c>
      <c r="V91" s="1">
        <f>IFERROR(AVERAGE(Wholesale[[#This Row],[‫مارس‬‏]]:Wholesale[[#This Row],[‫ینایر‬‏]]),"")</f>
        <v>115.91666666666667</v>
      </c>
    </row>
    <row r="92" spans="1:22" x14ac:dyDescent="0.35">
      <c r="A92" s="1">
        <v>2.2000000000000002</v>
      </c>
      <c r="B92" s="1">
        <v>107.73</v>
      </c>
      <c r="C92" s="1">
        <v>110.1</v>
      </c>
      <c r="D92" s="1">
        <v>110.33</v>
      </c>
      <c r="E92" s="1">
        <v>113</v>
      </c>
      <c r="F92" s="1">
        <v>111.11</v>
      </c>
      <c r="G92" s="1">
        <v>112.11</v>
      </c>
      <c r="H92" s="1">
        <v>118.5</v>
      </c>
      <c r="I92" s="1">
        <v>118.94</v>
      </c>
      <c r="J92" s="1">
        <v>101.06</v>
      </c>
      <c r="K92" s="1">
        <v>111.11</v>
      </c>
      <c r="L92" s="1">
        <v>100.56</v>
      </c>
      <c r="M92" s="1">
        <v>111.94</v>
      </c>
      <c r="N92" s="1">
        <v>101.39</v>
      </c>
      <c r="O92" s="1">
        <v>111.11</v>
      </c>
      <c r="P92" t="s">
        <v>25</v>
      </c>
      <c r="Q92" t="s">
        <v>109</v>
      </c>
      <c r="R92" s="1" t="s">
        <v>154</v>
      </c>
      <c r="S92" s="1">
        <f>IFERROR(AVERAGE(Wholesale[[#This Row],[‫دیسمبر‬‏]]:Wholesale[[#This Row],[‫اكتوبر‬‏]]),"")</f>
        <v>111.48</v>
      </c>
      <c r="T92" s="1">
        <f>IFERROR(AVERAGE(Wholesale[[#This Row],[‫سبتمبر‬‏]]:Wholesale[[#This Row],[‫یولیو‬‏]]),"")</f>
        <v>116.51666666666667</v>
      </c>
      <c r="U92" s="1">
        <f>IFERROR(AVERAGE(Wholesale[[#This Row],[‫یونیو‬‏]]:Wholesale[[#This Row],[‫ابریل‬‏]]),"")</f>
        <v>104.24333333333334</v>
      </c>
      <c r="V92" s="1">
        <f>IFERROR(AVERAGE(Wholesale[[#This Row],[‫مارس‬‏]]:Wholesale[[#This Row],[‫ینایر‬‏]]),"")</f>
        <v>108.14666666666666</v>
      </c>
    </row>
    <row r="93" spans="1:22" x14ac:dyDescent="0.35">
      <c r="A93" s="1">
        <v>0.2</v>
      </c>
      <c r="B93" s="1">
        <v>130.47</v>
      </c>
      <c r="C93" s="1">
        <v>130.74</v>
      </c>
      <c r="D93" s="1">
        <v>131.16999999999999</v>
      </c>
      <c r="E93" s="1">
        <v>131.16999999999999</v>
      </c>
      <c r="F93" s="1">
        <v>130.88999999999999</v>
      </c>
      <c r="G93" s="1">
        <v>130.88999999999999</v>
      </c>
      <c r="H93" s="1">
        <v>130.33000000000001</v>
      </c>
      <c r="I93" s="1">
        <v>127</v>
      </c>
      <c r="J93" s="1">
        <v>132.94</v>
      </c>
      <c r="K93" s="1">
        <v>133.16999999999999</v>
      </c>
      <c r="L93" s="1">
        <v>133.16999999999999</v>
      </c>
      <c r="M93" s="1">
        <v>129.83000000000001</v>
      </c>
      <c r="N93" s="1">
        <v>129.28</v>
      </c>
      <c r="O93" s="1">
        <v>129</v>
      </c>
      <c r="P93" t="s">
        <v>111</v>
      </c>
      <c r="Q93" t="s">
        <v>110</v>
      </c>
      <c r="R93" s="1" t="s">
        <v>154</v>
      </c>
      <c r="S93" s="1">
        <f>IFERROR(AVERAGE(Wholesale[[#This Row],[‫دیسمبر‬‏]]:Wholesale[[#This Row],[‫اكتوبر‬‏]]),"")</f>
        <v>131.07666666666665</v>
      </c>
      <c r="T93" s="1">
        <f>IFERROR(AVERAGE(Wholesale[[#This Row],[‫سبتمبر‬‏]]:Wholesale[[#This Row],[‫یولیو‬‏]]),"")</f>
        <v>129.40666666666667</v>
      </c>
      <c r="U93" s="1">
        <f>IFERROR(AVERAGE(Wholesale[[#This Row],[‫یونیو‬‏]]:Wholesale[[#This Row],[‫ابریل‬‏]]),"")</f>
        <v>133.09333333333333</v>
      </c>
      <c r="V93" s="1">
        <f>IFERROR(AVERAGE(Wholesale[[#This Row],[‫مارس‬‏]]:Wholesale[[#This Row],[‫ینایر‬‏]]),"")</f>
        <v>129.37</v>
      </c>
    </row>
    <row r="94" spans="1:22" x14ac:dyDescent="0.35">
      <c r="A94" s="1">
        <v>-3.5</v>
      </c>
      <c r="B94" s="1">
        <v>5055.1400000000003</v>
      </c>
      <c r="C94" s="1">
        <v>4876.1899999999996</v>
      </c>
      <c r="D94" s="1">
        <v>4759.5200000000004</v>
      </c>
      <c r="E94" s="1">
        <v>4854.76</v>
      </c>
      <c r="F94" s="1">
        <v>5050</v>
      </c>
      <c r="G94" s="1">
        <v>4700</v>
      </c>
      <c r="H94" s="1">
        <v>4600</v>
      </c>
      <c r="I94" s="1">
        <v>4528.57</v>
      </c>
      <c r="J94" s="1">
        <v>4421.43</v>
      </c>
      <c r="K94" s="1">
        <v>4559.5200000000004</v>
      </c>
      <c r="L94" s="1">
        <v>5197.62</v>
      </c>
      <c r="M94" s="1">
        <v>5280.95</v>
      </c>
      <c r="N94" s="1">
        <v>5340.48</v>
      </c>
      <c r="O94" s="1">
        <v>5221.43</v>
      </c>
      <c r="P94" t="s">
        <v>113</v>
      </c>
      <c r="Q94" t="s">
        <v>112</v>
      </c>
      <c r="R94" s="1" t="s">
        <v>154</v>
      </c>
      <c r="S94" s="1">
        <f>IFERROR(AVERAGE(Wholesale[[#This Row],[‫دیسمبر‬‏]]:Wholesale[[#This Row],[‫اكتوبر‬‏]]),"")</f>
        <v>4888.0933333333332</v>
      </c>
      <c r="T94" s="1">
        <f>IFERROR(AVERAGE(Wholesale[[#This Row],[‫سبتمبر‬‏]]:Wholesale[[#This Row],[‫یولیو‬‏]]),"")</f>
        <v>4609.5233333333335</v>
      </c>
      <c r="U94" s="1">
        <f>IFERROR(AVERAGE(Wholesale[[#This Row],[‫یونیو‬‏]]:Wholesale[[#This Row],[‫ابریل‬‏]]),"")</f>
        <v>4726.1899999999996</v>
      </c>
      <c r="V94" s="1">
        <f>IFERROR(AVERAGE(Wholesale[[#This Row],[‫مارس‬‏]]:Wholesale[[#This Row],[‫ینایر‬‏]]),"")</f>
        <v>5280.9533333333338</v>
      </c>
    </row>
    <row r="95" spans="1:22" x14ac:dyDescent="0.35">
      <c r="A95" s="1">
        <v>2</v>
      </c>
      <c r="B95" s="1">
        <v>4664.34</v>
      </c>
      <c r="C95" s="1">
        <v>4758.55</v>
      </c>
      <c r="D95" s="1">
        <v>4612.5</v>
      </c>
      <c r="E95" s="1">
        <v>4751.67</v>
      </c>
      <c r="F95" s="1">
        <v>4932.92</v>
      </c>
      <c r="G95" s="1">
        <v>4555.83</v>
      </c>
      <c r="H95" s="1">
        <v>4442.71</v>
      </c>
      <c r="I95" s="1">
        <v>4347.92</v>
      </c>
      <c r="J95" s="1">
        <v>4216.25</v>
      </c>
      <c r="K95" s="1">
        <v>4537.08</v>
      </c>
      <c r="L95" s="1">
        <v>4985.79</v>
      </c>
      <c r="M95" s="1">
        <v>5252.46</v>
      </c>
      <c r="N95" s="1">
        <v>5302.46</v>
      </c>
      <c r="O95" s="1">
        <v>5164.96</v>
      </c>
      <c r="P95" t="s">
        <v>113</v>
      </c>
      <c r="Q95" t="s">
        <v>114</v>
      </c>
      <c r="R95" s="1" t="s">
        <v>154</v>
      </c>
      <c r="S95" s="1">
        <f>IFERROR(AVERAGE(Wholesale[[#This Row],[‫دیسمبر‬‏]]:Wholesale[[#This Row],[‫اكتوبر‬‏]]),"")</f>
        <v>4765.6966666666667</v>
      </c>
      <c r="T95" s="1">
        <f>IFERROR(AVERAGE(Wholesale[[#This Row],[‫سبتمبر‬‏]]:Wholesale[[#This Row],[‫یولیو‬‏]]),"")</f>
        <v>4448.8200000000006</v>
      </c>
      <c r="U95" s="1">
        <f>IFERROR(AVERAGE(Wholesale[[#This Row],[‫یونیو‬‏]]:Wholesale[[#This Row],[‫ابریل‬‏]]),"")</f>
        <v>4579.706666666666</v>
      </c>
      <c r="V95" s="1">
        <f>IFERROR(AVERAGE(Wholesale[[#This Row],[‫مارس‬‏]]:Wholesale[[#This Row],[‫ینایر‬‏]]),"")</f>
        <v>5239.96</v>
      </c>
    </row>
    <row r="96" spans="1:22" x14ac:dyDescent="0.35">
      <c r="A96" s="1">
        <v>-3</v>
      </c>
      <c r="B96" s="1">
        <v>117.09</v>
      </c>
      <c r="C96" s="1">
        <v>113.54</v>
      </c>
      <c r="D96" s="1">
        <v>126</v>
      </c>
      <c r="E96" s="1">
        <v>127.5</v>
      </c>
      <c r="F96" s="1">
        <v>125</v>
      </c>
      <c r="G96" s="1">
        <v>125</v>
      </c>
      <c r="H96" s="1">
        <v>120</v>
      </c>
      <c r="I96" s="1">
        <v>125</v>
      </c>
      <c r="J96" s="1">
        <v>117.5</v>
      </c>
      <c r="K96" s="1">
        <v>114</v>
      </c>
      <c r="L96" s="1">
        <v>102</v>
      </c>
      <c r="M96" s="1">
        <v>98</v>
      </c>
      <c r="N96" s="1">
        <v>85</v>
      </c>
      <c r="O96" s="1">
        <v>97.5</v>
      </c>
      <c r="P96" t="s">
        <v>25</v>
      </c>
      <c r="Q96" t="s">
        <v>178</v>
      </c>
      <c r="R96" s="1" t="s">
        <v>154</v>
      </c>
      <c r="S96" s="1">
        <f>IFERROR(AVERAGE(Wholesale[[#This Row],[‫دیسمبر‬‏]]:Wholesale[[#This Row],[‫اكتوبر‬‏]]),"")</f>
        <v>126.16666666666667</v>
      </c>
      <c r="T96" s="1">
        <f>IFERROR(AVERAGE(Wholesale[[#This Row],[‫سبتمبر‬‏]]:Wholesale[[#This Row],[‫یولیو‬‏]]),"")</f>
        <v>123.33333333333333</v>
      </c>
      <c r="U96" s="1">
        <f>IFERROR(AVERAGE(Wholesale[[#This Row],[‫یونیو‬‏]]:Wholesale[[#This Row],[‫ابریل‬‏]]),"")</f>
        <v>111.16666666666667</v>
      </c>
      <c r="V96" s="1">
        <f>IFERROR(AVERAGE(Wholesale[[#This Row],[‫مارس‬‏]]:Wholesale[[#This Row],[‫ینایر‬‏]]),"")</f>
        <v>93.5</v>
      </c>
    </row>
    <row r="97" spans="1:22" x14ac:dyDescent="0.35">
      <c r="A97" s="1">
        <v>10.6</v>
      </c>
      <c r="B97" s="1">
        <v>72.69</v>
      </c>
      <c r="C97" s="1">
        <v>80.400000000000006</v>
      </c>
      <c r="D97" s="1">
        <v>81.28</v>
      </c>
      <c r="E97" s="1">
        <v>83.67</v>
      </c>
      <c r="F97" s="1">
        <v>81.53</v>
      </c>
      <c r="G97" s="1">
        <v>83.19</v>
      </c>
      <c r="H97" s="1">
        <v>83.87</v>
      </c>
      <c r="I97" s="1">
        <v>82.72</v>
      </c>
      <c r="J97" s="1">
        <v>82.4</v>
      </c>
      <c r="K97" s="1">
        <v>82.69</v>
      </c>
      <c r="L97" s="1">
        <v>79.31</v>
      </c>
      <c r="M97" s="1">
        <v>74.819999999999993</v>
      </c>
      <c r="N97" s="1">
        <v>74.819999999999993</v>
      </c>
      <c r="O97" s="1">
        <v>74.489999999999995</v>
      </c>
      <c r="P97" t="s">
        <v>25</v>
      </c>
      <c r="Q97" t="s">
        <v>116</v>
      </c>
      <c r="R97" s="1" t="s">
        <v>154</v>
      </c>
      <c r="S97" s="1">
        <f>IFERROR(AVERAGE(Wholesale[[#This Row],[‫دیسمبر‬‏]]:Wholesale[[#This Row],[‫اكتوبر‬‏]]),"")</f>
        <v>82.16</v>
      </c>
      <c r="T97" s="1">
        <f>IFERROR(AVERAGE(Wholesale[[#This Row],[‫سبتمبر‬‏]]:Wholesale[[#This Row],[‫یولیو‬‏]]),"")</f>
        <v>83.26</v>
      </c>
      <c r="U97" s="1">
        <f>IFERROR(AVERAGE(Wholesale[[#This Row],[‫یونیو‬‏]]:Wholesale[[#This Row],[‫ابریل‬‏]]),"")</f>
        <v>81.466666666666669</v>
      </c>
      <c r="V97" s="1">
        <f>IFERROR(AVERAGE(Wholesale[[#This Row],[‫مارس‬‏]]:Wholesale[[#This Row],[‫ینایر‬‏]]),"")</f>
        <v>74.709999999999994</v>
      </c>
    </row>
    <row r="98" spans="1:22" x14ac:dyDescent="0.35">
      <c r="A98" s="1">
        <v>8.4</v>
      </c>
      <c r="B98" s="1">
        <v>48.9</v>
      </c>
      <c r="C98" s="1">
        <v>53.03</v>
      </c>
      <c r="D98" s="1">
        <v>50.67</v>
      </c>
      <c r="E98" s="1">
        <v>57.67</v>
      </c>
      <c r="F98" s="1">
        <v>57.83</v>
      </c>
      <c r="G98" s="1">
        <v>57.83</v>
      </c>
      <c r="H98" s="1">
        <v>50.83</v>
      </c>
      <c r="I98" s="1">
        <v>56.83</v>
      </c>
      <c r="J98" s="1">
        <v>56.83</v>
      </c>
      <c r="K98" s="1">
        <v>50.67</v>
      </c>
      <c r="L98" s="1">
        <v>49.67</v>
      </c>
      <c r="M98" s="1">
        <v>50.42</v>
      </c>
      <c r="N98" s="1">
        <v>48.67</v>
      </c>
      <c r="O98" s="1">
        <v>48.5</v>
      </c>
      <c r="P98" t="s">
        <v>25</v>
      </c>
      <c r="Q98" t="s">
        <v>117</v>
      </c>
      <c r="R98" s="1" t="s">
        <v>154</v>
      </c>
      <c r="S98" s="1">
        <f>IFERROR(AVERAGE(Wholesale[[#This Row],[‫دیسمبر‬‏]]:Wholesale[[#This Row],[‫اكتوبر‬‏]]),"")</f>
        <v>55.390000000000008</v>
      </c>
      <c r="T98" s="1">
        <f>IFERROR(AVERAGE(Wholesale[[#This Row],[‫سبتمبر‬‏]]:Wholesale[[#This Row],[‫یولیو‬‏]]),"")</f>
        <v>55.163333333333334</v>
      </c>
      <c r="U98" s="1">
        <f>IFERROR(AVERAGE(Wholesale[[#This Row],[‫یونیو‬‏]]:Wholesale[[#This Row],[‫ابریل‬‏]]),"")</f>
        <v>52.390000000000008</v>
      </c>
      <c r="V98" s="1">
        <f>IFERROR(AVERAGE(Wholesale[[#This Row],[‫مارس‬‏]]:Wholesale[[#This Row],[‫ینایر‬‏]]),"")</f>
        <v>49.196666666666665</v>
      </c>
    </row>
    <row r="99" spans="1:22" x14ac:dyDescent="0.35">
      <c r="A99" s="1">
        <v>27.8</v>
      </c>
      <c r="B99" s="1">
        <v>143.24</v>
      </c>
      <c r="C99" s="1">
        <v>183</v>
      </c>
      <c r="D99" s="1">
        <v>200.11</v>
      </c>
      <c r="E99" s="1">
        <v>193.33</v>
      </c>
      <c r="F99" s="1">
        <v>165</v>
      </c>
      <c r="G99" s="1">
        <v>167.5</v>
      </c>
      <c r="H99" s="1">
        <v>200</v>
      </c>
      <c r="I99" s="1">
        <v>167.5</v>
      </c>
      <c r="J99" s="1">
        <v>167.5</v>
      </c>
      <c r="K99" s="1">
        <v>200</v>
      </c>
      <c r="L99" s="1">
        <v>180</v>
      </c>
      <c r="M99" s="1">
        <v>175</v>
      </c>
      <c r="N99" s="1">
        <v>180</v>
      </c>
      <c r="O99" s="1">
        <v>200</v>
      </c>
      <c r="P99" t="s">
        <v>25</v>
      </c>
      <c r="Q99" t="s">
        <v>118</v>
      </c>
      <c r="R99" s="1" t="s">
        <v>154</v>
      </c>
      <c r="S99" s="1">
        <f>IFERROR(AVERAGE(Wholesale[[#This Row],[‫دیسمبر‬‏]]:Wholesale[[#This Row],[‫اكتوبر‬‏]]),"")</f>
        <v>186.14666666666668</v>
      </c>
      <c r="T99" s="1">
        <f>IFERROR(AVERAGE(Wholesale[[#This Row],[‫سبتمبر‬‏]]:Wholesale[[#This Row],[‫یولیو‬‏]]),"")</f>
        <v>178.33333333333334</v>
      </c>
      <c r="U99" s="1">
        <f>IFERROR(AVERAGE(Wholesale[[#This Row],[‫یونیو‬‏]]:Wholesale[[#This Row],[‫ابریل‬‏]]),"")</f>
        <v>182.5</v>
      </c>
      <c r="V99" s="1">
        <f>IFERROR(AVERAGE(Wholesale[[#This Row],[‫مارس‬‏]]:Wholesale[[#This Row],[‫ینایر‬‏]]),"")</f>
        <v>185</v>
      </c>
    </row>
    <row r="100" spans="1:22" x14ac:dyDescent="0.35">
      <c r="A100" s="1">
        <v>11.5</v>
      </c>
      <c r="B100" s="1">
        <v>124.3</v>
      </c>
      <c r="C100" s="1">
        <v>138.58000000000001</v>
      </c>
      <c r="D100" s="1">
        <v>144.16999999999999</v>
      </c>
      <c r="E100" s="1">
        <v>132.22</v>
      </c>
      <c r="F100" s="1">
        <v>135.93</v>
      </c>
      <c r="G100" s="1">
        <v>137.04</v>
      </c>
      <c r="H100" s="1">
        <v>149.16999999999999</v>
      </c>
      <c r="I100" s="1">
        <v>139.26</v>
      </c>
      <c r="J100" s="1">
        <v>139.26</v>
      </c>
      <c r="K100" s="1">
        <v>151.04</v>
      </c>
      <c r="L100" s="1">
        <v>122.92</v>
      </c>
      <c r="M100" s="1">
        <v>143.75</v>
      </c>
      <c r="N100" s="1">
        <v>143.75</v>
      </c>
      <c r="O100" s="1">
        <v>124.52</v>
      </c>
      <c r="P100" t="s">
        <v>25</v>
      </c>
      <c r="Q100" t="s">
        <v>119</v>
      </c>
      <c r="R100" s="1" t="s">
        <v>154</v>
      </c>
      <c r="S100" s="1">
        <f>IFERROR(AVERAGE(Wholesale[[#This Row],[‫دیسمبر‬‏]]:Wholesale[[#This Row],[‫اكتوبر‬‏]]),"")</f>
        <v>137.44</v>
      </c>
      <c r="T100" s="1">
        <f>IFERROR(AVERAGE(Wholesale[[#This Row],[‫سبتمبر‬‏]]:Wholesale[[#This Row],[‫یولیو‬‏]]),"")</f>
        <v>141.82333333333332</v>
      </c>
      <c r="U100" s="1">
        <f>IFERROR(AVERAGE(Wholesale[[#This Row],[‫یونیو‬‏]]:Wholesale[[#This Row],[‫ابریل‬‏]]),"")</f>
        <v>137.73999999999998</v>
      </c>
      <c r="V100" s="1">
        <f>IFERROR(AVERAGE(Wholesale[[#This Row],[‫مارس‬‏]]:Wholesale[[#This Row],[‫ینایر‬‏]]),"")</f>
        <v>137.34</v>
      </c>
    </row>
    <row r="101" spans="1:22" x14ac:dyDescent="0.35">
      <c r="A101" s="1">
        <v>5.2</v>
      </c>
      <c r="B101" s="1">
        <v>108.26</v>
      </c>
      <c r="C101" s="1">
        <v>113.89</v>
      </c>
      <c r="D101" s="1">
        <v>136.22</v>
      </c>
      <c r="E101" s="1">
        <v>94.44</v>
      </c>
      <c r="F101" s="1">
        <v>126.11</v>
      </c>
      <c r="G101" s="1">
        <v>122.78</v>
      </c>
      <c r="H101" s="1">
        <v>126.11</v>
      </c>
      <c r="I101" s="1">
        <v>116.11</v>
      </c>
      <c r="J101" s="1">
        <v>116.11</v>
      </c>
      <c r="K101" s="1">
        <v>101.11</v>
      </c>
      <c r="L101" s="1">
        <v>116.11</v>
      </c>
      <c r="M101" s="1">
        <v>103.89</v>
      </c>
      <c r="N101" s="1">
        <v>103.89</v>
      </c>
      <c r="O101" s="1">
        <v>103.75</v>
      </c>
      <c r="P101" t="s">
        <v>25</v>
      </c>
      <c r="Q101" t="s">
        <v>120</v>
      </c>
      <c r="R101" s="1" t="s">
        <v>154</v>
      </c>
      <c r="S101" s="1">
        <f>IFERROR(AVERAGE(Wholesale[[#This Row],[‫دیسمبر‬‏]]:Wholesale[[#This Row],[‫اكتوبر‬‏]]),"")</f>
        <v>118.92333333333333</v>
      </c>
      <c r="T101" s="1">
        <f>IFERROR(AVERAGE(Wholesale[[#This Row],[‫سبتمبر‬‏]]:Wholesale[[#This Row],[‫یولیو‬‏]]),"")</f>
        <v>121.66666666666667</v>
      </c>
      <c r="U101" s="1">
        <f>IFERROR(AVERAGE(Wholesale[[#This Row],[‫یونیو‬‏]]:Wholesale[[#This Row],[‫ابریل‬‏]]),"")</f>
        <v>111.11</v>
      </c>
      <c r="V101" s="1">
        <f>IFERROR(AVERAGE(Wholesale[[#This Row],[‫مارس‬‏]]:Wholesale[[#This Row],[‫ینایر‬‏]]),"")</f>
        <v>103.84333333333332</v>
      </c>
    </row>
    <row r="102" spans="1:22" x14ac:dyDescent="0.35">
      <c r="A102" s="1">
        <v>1.6</v>
      </c>
      <c r="B102" s="1">
        <v>258.23</v>
      </c>
      <c r="C102" s="1">
        <v>262.26</v>
      </c>
      <c r="D102" s="1">
        <v>296.25</v>
      </c>
      <c r="E102" s="1">
        <v>485</v>
      </c>
      <c r="F102" s="1">
        <v>278.75</v>
      </c>
      <c r="G102" s="1">
        <v>256.25</v>
      </c>
      <c r="H102" s="1">
        <v>253.75</v>
      </c>
      <c r="I102" s="1">
        <v>255</v>
      </c>
      <c r="J102" s="1">
        <v>250</v>
      </c>
      <c r="K102" s="1">
        <v>251.25</v>
      </c>
      <c r="L102" s="1">
        <v>197.5</v>
      </c>
      <c r="M102" s="1">
        <v>151.11000000000001</v>
      </c>
      <c r="N102" s="1">
        <v>144.44</v>
      </c>
      <c r="O102" s="1">
        <v>327.78</v>
      </c>
      <c r="P102" t="s">
        <v>25</v>
      </c>
      <c r="Q102" t="s">
        <v>179</v>
      </c>
      <c r="R102" s="1" t="s">
        <v>154</v>
      </c>
      <c r="S102" s="1">
        <f>IFERROR(AVERAGE(Wholesale[[#This Row],[‫دیسمبر‬‏]]:Wholesale[[#This Row],[‫اكتوبر‬‏]]),"")</f>
        <v>353.33333333333331</v>
      </c>
      <c r="T102" s="1">
        <f>IFERROR(AVERAGE(Wholesale[[#This Row],[‫سبتمبر‬‏]]:Wholesale[[#This Row],[‫یولیو‬‏]]),"")</f>
        <v>255</v>
      </c>
      <c r="U102" s="1">
        <f>IFERROR(AVERAGE(Wholesale[[#This Row],[‫یونیو‬‏]]:Wholesale[[#This Row],[‫ابریل‬‏]]),"")</f>
        <v>232.91666666666666</v>
      </c>
      <c r="V102" s="1">
        <f>IFERROR(AVERAGE(Wholesale[[#This Row],[‫مارس‬‏]]:Wholesale[[#This Row],[‫ینایر‬‏]]),"")</f>
        <v>207.77666666666664</v>
      </c>
    </row>
    <row r="103" spans="1:22" x14ac:dyDescent="0.35">
      <c r="A103" s="1">
        <v>27.5</v>
      </c>
      <c r="B103" s="1">
        <v>274.26</v>
      </c>
      <c r="C103" s="1">
        <v>349.67</v>
      </c>
      <c r="D103" s="1">
        <v>445.67</v>
      </c>
      <c r="E103" s="1">
        <v>386.67</v>
      </c>
      <c r="F103" s="1">
        <v>415.67</v>
      </c>
      <c r="G103" s="1">
        <v>408.67</v>
      </c>
      <c r="H103" s="1">
        <v>288.33</v>
      </c>
      <c r="I103" s="1">
        <v>288.33</v>
      </c>
      <c r="J103" s="1">
        <v>263.33</v>
      </c>
      <c r="K103" s="1">
        <v>336.67</v>
      </c>
      <c r="L103" s="1">
        <v>336.67</v>
      </c>
      <c r="M103" s="1">
        <v>330</v>
      </c>
      <c r="N103" s="1">
        <v>336</v>
      </c>
      <c r="O103" s="1">
        <v>360</v>
      </c>
      <c r="P103" t="s">
        <v>25</v>
      </c>
      <c r="Q103" t="s">
        <v>180</v>
      </c>
      <c r="R103" s="1" t="s">
        <v>154</v>
      </c>
      <c r="S103" s="1">
        <f>IFERROR(AVERAGE(Wholesale[[#This Row],[‫دیسمبر‬‏]]:Wholesale[[#This Row],[‫اكتوبر‬‏]]),"")</f>
        <v>416.00333333333333</v>
      </c>
      <c r="T103" s="1">
        <f>IFERROR(AVERAGE(Wholesale[[#This Row],[‫سبتمبر‬‏]]:Wholesale[[#This Row],[‫یولیو‬‏]]),"")</f>
        <v>328.44333333333333</v>
      </c>
      <c r="U103" s="1">
        <f>IFERROR(AVERAGE(Wholesale[[#This Row],[‫یونیو‬‏]]:Wholesale[[#This Row],[‫ابریل‬‏]]),"")</f>
        <v>312.22333333333336</v>
      </c>
      <c r="V103" s="1">
        <f>IFERROR(AVERAGE(Wholesale[[#This Row],[‫مارس‬‏]]:Wholesale[[#This Row],[‫ینایر‬‏]]),"")</f>
        <v>342</v>
      </c>
    </row>
    <row r="104" spans="1:22" x14ac:dyDescent="0.35">
      <c r="A104" s="1">
        <v>29.5</v>
      </c>
      <c r="B104" s="1">
        <v>254.66</v>
      </c>
      <c r="C104" s="1">
        <v>329.88</v>
      </c>
      <c r="D104" s="1">
        <v>399.44</v>
      </c>
      <c r="E104" s="1">
        <v>307.77999999999997</v>
      </c>
      <c r="F104" s="1">
        <v>387.78</v>
      </c>
      <c r="G104" s="1">
        <v>381.94</v>
      </c>
      <c r="H104" s="1">
        <v>303.33</v>
      </c>
      <c r="I104" s="1">
        <v>303.33</v>
      </c>
      <c r="J104" s="1">
        <v>293.33</v>
      </c>
      <c r="K104" s="1">
        <v>332.78</v>
      </c>
      <c r="L104" s="1">
        <v>332.78</v>
      </c>
      <c r="M104" s="1">
        <v>322.77999999999997</v>
      </c>
      <c r="N104" s="1">
        <v>327.78</v>
      </c>
      <c r="O104" s="1">
        <v>265.56</v>
      </c>
      <c r="P104" t="s">
        <v>25</v>
      </c>
      <c r="Q104" t="s">
        <v>181</v>
      </c>
      <c r="R104" s="1" t="s">
        <v>154</v>
      </c>
      <c r="S104" s="1">
        <f>IFERROR(AVERAGE(Wholesale[[#This Row],[‫دیسمبر‬‏]]:Wholesale[[#This Row],[‫اكتوبر‬‏]]),"")</f>
        <v>365</v>
      </c>
      <c r="T104" s="1">
        <f>IFERROR(AVERAGE(Wholesale[[#This Row],[‫سبتمبر‬‏]]:Wholesale[[#This Row],[‫یولیو‬‏]]),"")</f>
        <v>329.5333333333333</v>
      </c>
      <c r="U104" s="1">
        <f>IFERROR(AVERAGE(Wholesale[[#This Row],[‫یونیو‬‏]]:Wholesale[[#This Row],[‫ابریل‬‏]]),"")</f>
        <v>319.62999999999994</v>
      </c>
      <c r="V104" s="1">
        <f>IFERROR(AVERAGE(Wholesale[[#This Row],[‫مارس‬‏]]:Wholesale[[#This Row],[‫ینایر‬‏]]),"")</f>
        <v>305.37333333333328</v>
      </c>
    </row>
    <row r="105" spans="1:22" x14ac:dyDescent="0.35">
      <c r="A105" s="1">
        <v>47.9</v>
      </c>
      <c r="B105" s="1">
        <v>90.38</v>
      </c>
      <c r="C105" s="1">
        <v>133.68</v>
      </c>
      <c r="D105" s="1">
        <v>144.26</v>
      </c>
      <c r="E105" s="1">
        <v>123.7</v>
      </c>
      <c r="F105" s="1">
        <v>139.91</v>
      </c>
      <c r="G105" s="1">
        <v>139.91</v>
      </c>
      <c r="H105" s="1">
        <v>139.91</v>
      </c>
      <c r="I105" s="1">
        <v>144.06</v>
      </c>
      <c r="J105" s="1">
        <v>136.44</v>
      </c>
      <c r="K105" s="1">
        <v>136.02000000000001</v>
      </c>
      <c r="L105" s="1">
        <v>134.07</v>
      </c>
      <c r="M105" s="1">
        <v>124.54</v>
      </c>
      <c r="N105" s="1">
        <v>123.43</v>
      </c>
      <c r="O105" s="1">
        <v>117.87</v>
      </c>
      <c r="P105" t="s">
        <v>25</v>
      </c>
      <c r="Q105" t="s">
        <v>182</v>
      </c>
      <c r="R105" s="1" t="s">
        <v>154</v>
      </c>
      <c r="S105" s="1">
        <f>IFERROR(AVERAGE(Wholesale[[#This Row],[‫دیسمبر‬‏]]:Wholesale[[#This Row],[‫اكتوبر‬‏]]),"")</f>
        <v>135.95666666666668</v>
      </c>
      <c r="T105" s="1">
        <f>IFERROR(AVERAGE(Wholesale[[#This Row],[‫سبتمبر‬‏]]:Wholesale[[#This Row],[‫یولیو‬‏]]),"")</f>
        <v>141.29333333333332</v>
      </c>
      <c r="U105" s="1">
        <f>IFERROR(AVERAGE(Wholesale[[#This Row],[‫یونیو‬‏]]:Wholesale[[#This Row],[‫ابریل‬‏]]),"")</f>
        <v>135.51000000000002</v>
      </c>
      <c r="V105" s="1">
        <f>IFERROR(AVERAGE(Wholesale[[#This Row],[‫مارس‬‏]]:Wholesale[[#This Row],[‫ینایر‬‏]]),"")</f>
        <v>121.94666666666667</v>
      </c>
    </row>
    <row r="106" spans="1:22" x14ac:dyDescent="0.35">
      <c r="A106" s="1">
        <v>16.2</v>
      </c>
      <c r="B106" s="1">
        <v>77.150000000000006</v>
      </c>
      <c r="C106" s="1">
        <v>89.64</v>
      </c>
      <c r="D106" s="1">
        <v>91.38</v>
      </c>
      <c r="E106" s="1">
        <v>86.83</v>
      </c>
      <c r="F106" s="1">
        <v>92.69</v>
      </c>
      <c r="G106" s="1">
        <v>92.69</v>
      </c>
      <c r="H106" s="1">
        <v>92.69</v>
      </c>
      <c r="I106" s="1">
        <v>92.69</v>
      </c>
      <c r="J106" s="1">
        <v>92.88</v>
      </c>
      <c r="K106" s="1">
        <v>92.57</v>
      </c>
      <c r="L106" s="1">
        <v>86.86</v>
      </c>
      <c r="M106" s="1">
        <v>83.69</v>
      </c>
      <c r="N106" s="1">
        <v>83.69</v>
      </c>
      <c r="O106" s="1">
        <v>86.98</v>
      </c>
      <c r="P106" t="s">
        <v>25</v>
      </c>
      <c r="Q106" t="s">
        <v>183</v>
      </c>
      <c r="R106" s="1" t="s">
        <v>154</v>
      </c>
      <c r="S106" s="1">
        <f>IFERROR(AVERAGE(Wholesale[[#This Row],[‫دیسمبر‬‏]]:Wholesale[[#This Row],[‫اكتوبر‬‏]]),"")</f>
        <v>90.3</v>
      </c>
      <c r="T106" s="1">
        <f>IFERROR(AVERAGE(Wholesale[[#This Row],[‫سبتمبر‬‏]]:Wholesale[[#This Row],[‫یولیو‬‏]]),"")</f>
        <v>92.69</v>
      </c>
      <c r="U106" s="1">
        <f>IFERROR(AVERAGE(Wholesale[[#This Row],[‫یونیو‬‏]]:Wholesale[[#This Row],[‫ابریل‬‏]]),"")</f>
        <v>90.77</v>
      </c>
      <c r="V106" s="1">
        <f>IFERROR(AVERAGE(Wholesale[[#This Row],[‫مارس‬‏]]:Wholesale[[#This Row],[‫ینایر‬‏]]),"")</f>
        <v>84.786666666666676</v>
      </c>
    </row>
    <row r="107" spans="1:22" x14ac:dyDescent="0.35">
      <c r="A107" s="1">
        <v>16.600000000000001</v>
      </c>
      <c r="B107" s="1">
        <v>111.65</v>
      </c>
      <c r="C107" s="1">
        <v>130.22999999999999</v>
      </c>
      <c r="D107" s="1">
        <v>136.80000000000001</v>
      </c>
      <c r="E107" s="1">
        <v>129.97999999999999</v>
      </c>
      <c r="F107" s="1">
        <v>131.82</v>
      </c>
      <c r="G107" s="1">
        <v>130.82</v>
      </c>
      <c r="H107" s="1">
        <v>134.83000000000001</v>
      </c>
      <c r="I107" s="1">
        <v>129.32</v>
      </c>
      <c r="J107" s="1">
        <v>130.18</v>
      </c>
      <c r="K107" s="1">
        <v>134.61000000000001</v>
      </c>
      <c r="L107" s="1">
        <v>133.69999999999999</v>
      </c>
      <c r="M107" s="1">
        <v>125.98</v>
      </c>
      <c r="N107" s="1">
        <v>125.98</v>
      </c>
      <c r="O107" s="1">
        <v>118.71</v>
      </c>
      <c r="P107" t="s">
        <v>25</v>
      </c>
      <c r="Q107" t="s">
        <v>184</v>
      </c>
      <c r="R107" s="1" t="s">
        <v>154</v>
      </c>
      <c r="S107" s="1">
        <f>IFERROR(AVERAGE(Wholesale[[#This Row],[‫دیسمبر‬‏]]:Wholesale[[#This Row],[‫اكتوبر‬‏]]),"")</f>
        <v>132.86666666666665</v>
      </c>
      <c r="T107" s="1">
        <f>IFERROR(AVERAGE(Wholesale[[#This Row],[‫سبتمبر‬‏]]:Wholesale[[#This Row],[‫یولیو‬‏]]),"")</f>
        <v>131.65666666666667</v>
      </c>
      <c r="U107" s="1">
        <f>IFERROR(AVERAGE(Wholesale[[#This Row],[‫یونیو‬‏]]:Wholesale[[#This Row],[‫ابریل‬‏]]),"")</f>
        <v>132.83000000000001</v>
      </c>
      <c r="V107" s="1">
        <f>IFERROR(AVERAGE(Wholesale[[#This Row],[‫مارس‬‏]]:Wholesale[[#This Row],[‫ینایر‬‏]]),"")</f>
        <v>123.55666666666667</v>
      </c>
    </row>
    <row r="108" spans="1:22" x14ac:dyDescent="0.35">
      <c r="A108" s="1">
        <v>21.5</v>
      </c>
      <c r="B108" s="1">
        <v>24.43</v>
      </c>
      <c r="C108" s="1">
        <v>29.68</v>
      </c>
      <c r="D108" s="1">
        <v>30.48</v>
      </c>
      <c r="E108" s="1">
        <v>29.03</v>
      </c>
      <c r="F108" s="1">
        <v>30.45</v>
      </c>
      <c r="G108" s="1">
        <v>27.83</v>
      </c>
      <c r="H108" s="1">
        <v>30.43</v>
      </c>
      <c r="I108" s="1">
        <v>30.09</v>
      </c>
      <c r="J108" s="1">
        <v>30</v>
      </c>
      <c r="K108" s="1">
        <v>30.03</v>
      </c>
      <c r="L108" s="1">
        <v>30.03</v>
      </c>
      <c r="M108" s="1">
        <v>29.79</v>
      </c>
      <c r="N108" s="1">
        <v>29.79</v>
      </c>
      <c r="O108" s="1">
        <v>28.22</v>
      </c>
      <c r="P108" t="s">
        <v>25</v>
      </c>
      <c r="Q108" t="s">
        <v>121</v>
      </c>
      <c r="R108" s="1" t="s">
        <v>154</v>
      </c>
      <c r="S108" s="1">
        <f>IFERROR(AVERAGE(Wholesale[[#This Row],[‫دیسمبر‬‏]]:Wholesale[[#This Row],[‫اكتوبر‬‏]]),"")</f>
        <v>29.986666666666668</v>
      </c>
      <c r="T108" s="1">
        <f>IFERROR(AVERAGE(Wholesale[[#This Row],[‫سبتمبر‬‏]]:Wholesale[[#This Row],[‫یولیو‬‏]]),"")</f>
        <v>29.45</v>
      </c>
      <c r="U108" s="1">
        <f>IFERROR(AVERAGE(Wholesale[[#This Row],[‫یونیو‬‏]]:Wholesale[[#This Row],[‫ابریل‬‏]]),"")</f>
        <v>30.02</v>
      </c>
      <c r="V108" s="1">
        <f>IFERROR(AVERAGE(Wholesale[[#This Row],[‫مارس‬‏]]:Wholesale[[#This Row],[‫ینایر‬‏]]),"")</f>
        <v>29.266666666666666</v>
      </c>
    </row>
    <row r="109" spans="1:22" x14ac:dyDescent="0.35">
      <c r="A109" s="1">
        <v>54.4</v>
      </c>
      <c r="B109" s="1">
        <v>34.909999999999997</v>
      </c>
      <c r="C109" s="1">
        <v>53.9</v>
      </c>
      <c r="D109" s="1">
        <v>43.54</v>
      </c>
      <c r="E109" s="1">
        <v>72.83</v>
      </c>
      <c r="F109" s="1">
        <v>72.83</v>
      </c>
      <c r="G109" s="1">
        <v>61.5</v>
      </c>
      <c r="H109" s="1">
        <v>40.770000000000003</v>
      </c>
      <c r="I109" s="1">
        <v>72.83</v>
      </c>
      <c r="J109" s="1">
        <v>70.430000000000007</v>
      </c>
      <c r="K109" s="1">
        <v>43.04</v>
      </c>
      <c r="L109" s="1">
        <v>43.04</v>
      </c>
      <c r="M109" s="1">
        <v>43.04</v>
      </c>
      <c r="N109" s="1">
        <v>43.04</v>
      </c>
      <c r="O109" s="1">
        <v>39.83</v>
      </c>
      <c r="P109" t="s">
        <v>25</v>
      </c>
      <c r="Q109" t="s">
        <v>185</v>
      </c>
      <c r="R109" s="1" t="s">
        <v>154</v>
      </c>
      <c r="S109" s="1">
        <f>IFERROR(AVERAGE(Wholesale[[#This Row],[‫دیسمبر‬‏]]:Wholesale[[#This Row],[‫اكتوبر‬‏]]),"")</f>
        <v>63.066666666666663</v>
      </c>
      <c r="T109" s="1">
        <f>IFERROR(AVERAGE(Wholesale[[#This Row],[‫سبتمبر‬‏]]:Wholesale[[#This Row],[‫یولیو‬‏]]),"")</f>
        <v>58.366666666666674</v>
      </c>
      <c r="U109" s="1">
        <f>IFERROR(AVERAGE(Wholesale[[#This Row],[‫یونیو‬‏]]:Wholesale[[#This Row],[‫ابریل‬‏]]),"")</f>
        <v>52.169999999999995</v>
      </c>
      <c r="V109" s="1">
        <f>IFERROR(AVERAGE(Wholesale[[#This Row],[‫مارس‬‏]]:Wholesale[[#This Row],[‫ینایر‬‏]]),"")</f>
        <v>41.97</v>
      </c>
    </row>
    <row r="110" spans="1:22" x14ac:dyDescent="0.35">
      <c r="A110" s="1">
        <v>21.8</v>
      </c>
      <c r="B110" s="1">
        <v>91.2</v>
      </c>
      <c r="C110" s="1">
        <v>111.08</v>
      </c>
      <c r="D110" s="1">
        <v>118.33</v>
      </c>
      <c r="E110" s="1">
        <v>118.33</v>
      </c>
      <c r="F110" s="1">
        <v>118.33</v>
      </c>
      <c r="G110" s="1">
        <v>118.33</v>
      </c>
      <c r="H110" s="1">
        <v>117.5</v>
      </c>
      <c r="I110" s="1">
        <v>105</v>
      </c>
      <c r="J110" s="1">
        <v>105</v>
      </c>
      <c r="K110" s="1">
        <v>105</v>
      </c>
      <c r="L110" s="1">
        <v>105</v>
      </c>
      <c r="M110" s="1">
        <v>104.5</v>
      </c>
      <c r="N110" s="1">
        <v>118.33</v>
      </c>
      <c r="O110" s="1">
        <v>99.33</v>
      </c>
      <c r="P110" t="s">
        <v>186</v>
      </c>
      <c r="Q110" t="s">
        <v>187</v>
      </c>
      <c r="R110" s="1" t="s">
        <v>154</v>
      </c>
      <c r="S110" s="1">
        <f>IFERROR(AVERAGE(Wholesale[[#This Row],[‫دیسمبر‬‏]]:Wholesale[[#This Row],[‫اكتوبر‬‏]]),"")</f>
        <v>118.33</v>
      </c>
      <c r="T110" s="1">
        <f>IFERROR(AVERAGE(Wholesale[[#This Row],[‫سبتمبر‬‏]]:Wholesale[[#This Row],[‫یولیو‬‏]]),"")</f>
        <v>113.61</v>
      </c>
      <c r="U110" s="1">
        <f>IFERROR(AVERAGE(Wholesale[[#This Row],[‫یونیو‬‏]]:Wholesale[[#This Row],[‫ابریل‬‏]]),"")</f>
        <v>105</v>
      </c>
      <c r="V110" s="1">
        <f>IFERROR(AVERAGE(Wholesale[[#This Row],[‫مارس‬‏]]:Wholesale[[#This Row],[‫ینایر‬‏]]),"")</f>
        <v>107.38666666666666</v>
      </c>
    </row>
    <row r="111" spans="1:22" x14ac:dyDescent="0.35">
      <c r="A111" s="1">
        <v>54</v>
      </c>
      <c r="B111" s="1">
        <v>5.1100000000000003</v>
      </c>
      <c r="C111" s="1">
        <v>7.86</v>
      </c>
      <c r="D111" s="1">
        <v>5.78</v>
      </c>
      <c r="E111" s="1">
        <v>5.78</v>
      </c>
      <c r="F111" s="1">
        <v>5.78</v>
      </c>
      <c r="G111" s="1">
        <v>5.78</v>
      </c>
      <c r="H111" s="1">
        <v>18.28</v>
      </c>
      <c r="I111" s="1">
        <v>5.78</v>
      </c>
      <c r="J111" s="1">
        <v>5.78</v>
      </c>
      <c r="K111" s="1">
        <v>5.78</v>
      </c>
      <c r="L111" s="1">
        <v>5.78</v>
      </c>
      <c r="M111" s="1">
        <v>5.78</v>
      </c>
      <c r="N111" s="1">
        <v>5.78</v>
      </c>
      <c r="O111" s="1">
        <v>18.28</v>
      </c>
      <c r="P111" t="s">
        <v>188</v>
      </c>
      <c r="Q111" t="s">
        <v>189</v>
      </c>
      <c r="R111" s="1" t="s">
        <v>154</v>
      </c>
      <c r="S111" s="1">
        <f>IFERROR(AVERAGE(Wholesale[[#This Row],[‫دیسمبر‬‏]]:Wholesale[[#This Row],[‫اكتوبر‬‏]]),"")</f>
        <v>5.78</v>
      </c>
      <c r="T111" s="1">
        <f>IFERROR(AVERAGE(Wholesale[[#This Row],[‫سبتمبر‬‏]]:Wholesale[[#This Row],[‫یولیو‬‏]]),"")</f>
        <v>9.9466666666666672</v>
      </c>
      <c r="U111" s="1">
        <f>IFERROR(AVERAGE(Wholesale[[#This Row],[‫یونیو‬‏]]:Wholesale[[#This Row],[‫ابریل‬‏]]),"")</f>
        <v>5.78</v>
      </c>
      <c r="V111" s="1">
        <f>IFERROR(AVERAGE(Wholesale[[#This Row],[‫مارس‬‏]]:Wholesale[[#This Row],[‫ینایر‬‏]]),"")</f>
        <v>9.9466666666666672</v>
      </c>
    </row>
    <row r="112" spans="1:22" x14ac:dyDescent="0.35">
      <c r="A112" s="1">
        <v>4.3</v>
      </c>
      <c r="B112" s="1">
        <v>7.02</v>
      </c>
      <c r="C112" s="1">
        <v>7.32</v>
      </c>
      <c r="D112" s="1">
        <v>7.42</v>
      </c>
      <c r="E112" s="1">
        <v>7.42</v>
      </c>
      <c r="F112" s="1">
        <v>7.42</v>
      </c>
      <c r="G112" s="1">
        <v>7.42</v>
      </c>
      <c r="H112" s="1">
        <v>6.83</v>
      </c>
      <c r="I112" s="1">
        <v>7.42</v>
      </c>
      <c r="J112" s="1">
        <v>7.42</v>
      </c>
      <c r="K112" s="1">
        <v>7.42</v>
      </c>
      <c r="L112" s="1">
        <v>7.42</v>
      </c>
      <c r="M112" s="1">
        <v>7.42</v>
      </c>
      <c r="N112" s="1">
        <v>7.42</v>
      </c>
      <c r="O112" s="1">
        <v>6.83</v>
      </c>
      <c r="P112" t="s">
        <v>188</v>
      </c>
      <c r="Q112" t="s">
        <v>190</v>
      </c>
      <c r="R112" s="1" t="s">
        <v>154</v>
      </c>
      <c r="S112" s="1">
        <f>IFERROR(AVERAGE(Wholesale[[#This Row],[‫دیسمبر‬‏]]:Wholesale[[#This Row],[‫اكتوبر‬‏]]),"")</f>
        <v>7.419999999999999</v>
      </c>
      <c r="T112" s="1">
        <f>IFERROR(AVERAGE(Wholesale[[#This Row],[‫سبتمبر‬‏]]:Wholesale[[#This Row],[‫یولیو‬‏]]),"")</f>
        <v>7.2233333333333336</v>
      </c>
      <c r="U112" s="1">
        <f>IFERROR(AVERAGE(Wholesale[[#This Row],[‫یونیو‬‏]]:Wholesale[[#This Row],[‫ابریل‬‏]]),"")</f>
        <v>7.419999999999999</v>
      </c>
      <c r="V112" s="1">
        <f>IFERROR(AVERAGE(Wholesale[[#This Row],[‫مارس‬‏]]:Wholesale[[#This Row],[‫ینایر‬‏]]),"")</f>
        <v>7.2233333333333336</v>
      </c>
    </row>
    <row r="113" spans="1:22" x14ac:dyDescent="0.35">
      <c r="A113" s="1">
        <v>52.6</v>
      </c>
      <c r="B113" s="1">
        <v>6760.25</v>
      </c>
      <c r="C113" s="1">
        <v>10313.27</v>
      </c>
      <c r="D113" s="1">
        <v>11250</v>
      </c>
      <c r="E113" s="1">
        <v>11250</v>
      </c>
      <c r="F113" s="1">
        <v>11250</v>
      </c>
      <c r="G113" s="1">
        <v>11250</v>
      </c>
      <c r="H113" s="1">
        <v>5629.63</v>
      </c>
      <c r="I113" s="1">
        <v>11250</v>
      </c>
      <c r="J113" s="1">
        <v>11250</v>
      </c>
      <c r="K113" s="1">
        <v>11250</v>
      </c>
      <c r="L113" s="1">
        <v>11250</v>
      </c>
      <c r="M113" s="1">
        <v>11250</v>
      </c>
      <c r="N113" s="1">
        <v>11250</v>
      </c>
      <c r="O113" s="1">
        <v>5629.63</v>
      </c>
      <c r="P113" t="s">
        <v>123</v>
      </c>
      <c r="Q113" t="s">
        <v>191</v>
      </c>
      <c r="R113" s="1" t="s">
        <v>154</v>
      </c>
      <c r="S113" s="1">
        <f>IFERROR(AVERAGE(Wholesale[[#This Row],[‫دیسمبر‬‏]]:Wholesale[[#This Row],[‫اكتوبر‬‏]]),"")</f>
        <v>11250</v>
      </c>
      <c r="T113" s="1">
        <f>IFERROR(AVERAGE(Wholesale[[#This Row],[‫سبتمبر‬‏]]:Wholesale[[#This Row],[‫یولیو‬‏]]),"")</f>
        <v>9376.5433333333331</v>
      </c>
      <c r="U113" s="1">
        <f>IFERROR(AVERAGE(Wholesale[[#This Row],[‫یونیو‬‏]]:Wholesale[[#This Row],[‫ابریل‬‏]]),"")</f>
        <v>11250</v>
      </c>
      <c r="V113" s="1">
        <f>IFERROR(AVERAGE(Wholesale[[#This Row],[‫مارس‬‏]]:Wholesale[[#This Row],[‫ینایر‬‏]]),"")</f>
        <v>9376.5433333333331</v>
      </c>
    </row>
    <row r="114" spans="1:22" x14ac:dyDescent="0.35">
      <c r="A114" s="1">
        <v>17.100000000000001</v>
      </c>
      <c r="B114" s="1">
        <v>127.58</v>
      </c>
      <c r="C114" s="1">
        <v>149.36000000000001</v>
      </c>
      <c r="D114" s="1">
        <v>149.33000000000001</v>
      </c>
      <c r="E114" s="1">
        <v>150.91</v>
      </c>
      <c r="F114" s="1">
        <v>150.91</v>
      </c>
      <c r="G114" s="1">
        <v>150.91</v>
      </c>
      <c r="H114" s="1">
        <v>149.16999999999999</v>
      </c>
      <c r="I114" s="1">
        <v>150.91</v>
      </c>
      <c r="J114" s="1">
        <v>150.44999999999999</v>
      </c>
      <c r="K114" s="1">
        <v>148.19</v>
      </c>
      <c r="L114" s="1">
        <v>148.19</v>
      </c>
      <c r="M114" s="1">
        <v>147.97</v>
      </c>
      <c r="N114" s="1">
        <v>148.19</v>
      </c>
      <c r="O114" s="1">
        <v>147.22</v>
      </c>
      <c r="P114" t="s">
        <v>192</v>
      </c>
      <c r="Q114" t="s">
        <v>193</v>
      </c>
      <c r="R114" s="1" t="s">
        <v>154</v>
      </c>
      <c r="S114" s="1">
        <f>IFERROR(AVERAGE(Wholesale[[#This Row],[‫دیسمبر‬‏]]:Wholesale[[#This Row],[‫اكتوبر‬‏]]),"")</f>
        <v>150.38333333333333</v>
      </c>
      <c r="T114" s="1">
        <f>IFERROR(AVERAGE(Wholesale[[#This Row],[‫سبتمبر‬‏]]:Wholesale[[#This Row],[‫یولیو‬‏]]),"")</f>
        <v>150.33000000000001</v>
      </c>
      <c r="U114" s="1">
        <f>IFERROR(AVERAGE(Wholesale[[#This Row],[‫یونیو‬‏]]:Wholesale[[#This Row],[‫ابریل‬‏]]),"")</f>
        <v>148.94333333333333</v>
      </c>
      <c r="V114" s="1">
        <f>IFERROR(AVERAGE(Wholesale[[#This Row],[‫مارس‬‏]]:Wholesale[[#This Row],[‫ینایر‬‏]]),"")</f>
        <v>147.79333333333332</v>
      </c>
    </row>
    <row r="115" spans="1:22" x14ac:dyDescent="0.35">
      <c r="A115" s="1">
        <v>9.3000000000000007</v>
      </c>
      <c r="B115" s="1">
        <v>121.47</v>
      </c>
      <c r="C115" s="1">
        <v>132.76</v>
      </c>
      <c r="D115" s="1">
        <v>132.83000000000001</v>
      </c>
      <c r="E115" s="1">
        <v>133.4</v>
      </c>
      <c r="F115" s="1">
        <v>133.4</v>
      </c>
      <c r="G115" s="1">
        <v>133.4</v>
      </c>
      <c r="H115" s="1">
        <v>132.5</v>
      </c>
      <c r="I115" s="1">
        <v>133.4</v>
      </c>
      <c r="J115" s="1">
        <v>133.4</v>
      </c>
      <c r="K115" s="1">
        <v>132.5</v>
      </c>
      <c r="L115" s="1">
        <v>132.5</v>
      </c>
      <c r="M115" s="1">
        <v>132.5</v>
      </c>
      <c r="N115" s="1">
        <v>131.66999999999999</v>
      </c>
      <c r="O115" s="1">
        <v>131.66999999999999</v>
      </c>
      <c r="P115" t="s">
        <v>192</v>
      </c>
      <c r="Q115" t="s">
        <v>194</v>
      </c>
      <c r="R115" s="1" t="s">
        <v>154</v>
      </c>
      <c r="S115" s="1">
        <f>IFERROR(AVERAGE(Wholesale[[#This Row],[‫دیسمبر‬‏]]:Wholesale[[#This Row],[‫اكتوبر‬‏]]),"")</f>
        <v>133.21</v>
      </c>
      <c r="T115" s="1">
        <f>IFERROR(AVERAGE(Wholesale[[#This Row],[‫سبتمبر‬‏]]:Wholesale[[#This Row],[‫یولیو‬‏]]),"")</f>
        <v>133.1</v>
      </c>
      <c r="U115" s="1">
        <f>IFERROR(AVERAGE(Wholesale[[#This Row],[‫یونیو‬‏]]:Wholesale[[#This Row],[‫ابریل‬‏]]),"")</f>
        <v>132.79999999999998</v>
      </c>
      <c r="V115" s="1">
        <f>IFERROR(AVERAGE(Wholesale[[#This Row],[‫مارس‬‏]]:Wholesale[[#This Row],[‫ینایر‬‏]]),"")</f>
        <v>131.94666666666663</v>
      </c>
    </row>
    <row r="116" spans="1:22" x14ac:dyDescent="0.35">
      <c r="A116" s="1">
        <v>38.799999999999997</v>
      </c>
      <c r="B116" s="1">
        <v>7368.45</v>
      </c>
      <c r="C116" s="1">
        <v>10226.15</v>
      </c>
      <c r="D116" s="1">
        <v>11868.75</v>
      </c>
      <c r="E116" s="1">
        <v>9206</v>
      </c>
      <c r="F116" s="1">
        <v>9206</v>
      </c>
      <c r="G116" s="1">
        <v>9206</v>
      </c>
      <c r="H116" s="1">
        <v>9000</v>
      </c>
      <c r="I116" s="1">
        <v>8756</v>
      </c>
      <c r="J116" s="1">
        <v>9296</v>
      </c>
      <c r="K116" s="1">
        <v>11587.5</v>
      </c>
      <c r="L116" s="1">
        <v>11587.5</v>
      </c>
      <c r="M116" s="1">
        <v>11475</v>
      </c>
      <c r="N116" s="1">
        <v>10762.5</v>
      </c>
      <c r="O116" s="1">
        <v>10762.5</v>
      </c>
      <c r="P116" t="s">
        <v>123</v>
      </c>
      <c r="Q116" t="s">
        <v>122</v>
      </c>
      <c r="R116" s="1" t="s">
        <v>154</v>
      </c>
      <c r="S116" s="1">
        <f>IFERROR(AVERAGE(Wholesale[[#This Row],[‫دیسمبر‬‏]]:Wholesale[[#This Row],[‫اكتوبر‬‏]]),"")</f>
        <v>10093.583333333334</v>
      </c>
      <c r="T116" s="1">
        <f>IFERROR(AVERAGE(Wholesale[[#This Row],[‫سبتمبر‬‏]]:Wholesale[[#This Row],[‫یولیو‬‏]]),"")</f>
        <v>8987.3333333333339</v>
      </c>
      <c r="U116" s="1">
        <f>IFERROR(AVERAGE(Wholesale[[#This Row],[‫یونیو‬‏]]:Wholesale[[#This Row],[‫ابریل‬‏]]),"")</f>
        <v>10823.666666666666</v>
      </c>
      <c r="V116" s="1">
        <f>IFERROR(AVERAGE(Wholesale[[#This Row],[‫مارس‬‏]]:Wholesale[[#This Row],[‫ینایر‬‏]]),"")</f>
        <v>11000</v>
      </c>
    </row>
    <row r="117" spans="1:22" x14ac:dyDescent="0.35">
      <c r="A117" s="1">
        <v>8.5</v>
      </c>
      <c r="B117" s="1">
        <v>8387.14</v>
      </c>
      <c r="C117" s="1">
        <v>9101.18</v>
      </c>
      <c r="D117" s="1">
        <v>10390.629999999999</v>
      </c>
      <c r="E117" s="1">
        <v>8113.1</v>
      </c>
      <c r="F117" s="1">
        <v>8113.1</v>
      </c>
      <c r="G117" s="1">
        <v>8113.1</v>
      </c>
      <c r="H117" s="1">
        <v>9884.3799999999992</v>
      </c>
      <c r="I117" s="1">
        <v>7563.1</v>
      </c>
      <c r="J117" s="1">
        <v>8121.1</v>
      </c>
      <c r="K117" s="1">
        <v>10119.379999999999</v>
      </c>
      <c r="L117" s="1">
        <v>10119.379999999999</v>
      </c>
      <c r="M117" s="1">
        <v>10006.879999999999</v>
      </c>
      <c r="N117" s="1">
        <v>9335</v>
      </c>
      <c r="O117" s="1">
        <v>9335</v>
      </c>
      <c r="P117" t="s">
        <v>123</v>
      </c>
      <c r="Q117" t="s">
        <v>195</v>
      </c>
      <c r="R117" s="1" t="s">
        <v>154</v>
      </c>
      <c r="S117" s="1">
        <f>IFERROR(AVERAGE(Wholesale[[#This Row],[‫دیسمبر‬‏]]:Wholesale[[#This Row],[‫اكتوبر‬‏]]),"")</f>
        <v>8872.2766666666666</v>
      </c>
      <c r="T117" s="1">
        <f>IFERROR(AVERAGE(Wholesale[[#This Row],[‫سبتمبر‬‏]]:Wholesale[[#This Row],[‫یولیو‬‏]]),"")</f>
        <v>8520.1933333333345</v>
      </c>
      <c r="U117" s="1">
        <f>IFERROR(AVERAGE(Wholesale[[#This Row],[‫یونیو‬‏]]:Wholesale[[#This Row],[‫ابریل‬‏]]),"")</f>
        <v>9453.2866666666669</v>
      </c>
      <c r="V117" s="1">
        <f>IFERROR(AVERAGE(Wholesale[[#This Row],[‫مارس‬‏]]:Wholesale[[#This Row],[‫ینایر‬‏]]),"")</f>
        <v>9558.9599999999991</v>
      </c>
    </row>
    <row r="118" spans="1:22" x14ac:dyDescent="0.35">
      <c r="A118" s="1">
        <v>18.2</v>
      </c>
      <c r="B118" s="1">
        <v>103.72</v>
      </c>
      <c r="C118" s="1">
        <v>122.56</v>
      </c>
      <c r="D118" s="1">
        <v>123.54</v>
      </c>
      <c r="E118" s="1">
        <v>122.95</v>
      </c>
      <c r="F118" s="1">
        <v>122.8</v>
      </c>
      <c r="G118" s="1">
        <v>122.8</v>
      </c>
      <c r="H118" s="1">
        <v>125.98</v>
      </c>
      <c r="I118" s="1">
        <v>122.8</v>
      </c>
      <c r="J118" s="1">
        <v>122.8</v>
      </c>
      <c r="K118" s="1">
        <v>122.29</v>
      </c>
      <c r="L118" s="1">
        <v>121.46</v>
      </c>
      <c r="M118" s="1">
        <v>121.04</v>
      </c>
      <c r="N118" s="1">
        <v>121.46</v>
      </c>
      <c r="O118" s="1">
        <v>120.74</v>
      </c>
      <c r="P118" t="s">
        <v>25</v>
      </c>
      <c r="Q118" t="s">
        <v>125</v>
      </c>
      <c r="R118" s="1" t="s">
        <v>154</v>
      </c>
      <c r="S118" s="1">
        <f>IFERROR(AVERAGE(Wholesale[[#This Row],[‫دیسمبر‬‏]]:Wholesale[[#This Row],[‫اكتوبر‬‏]]),"")</f>
        <v>123.09666666666668</v>
      </c>
      <c r="T118" s="1">
        <f>IFERROR(AVERAGE(Wholesale[[#This Row],[‫سبتمبر‬‏]]:Wholesale[[#This Row],[‫یولیو‬‏]]),"")</f>
        <v>123.86</v>
      </c>
      <c r="U118" s="1">
        <f>IFERROR(AVERAGE(Wholesale[[#This Row],[‫یونیو‬‏]]:Wholesale[[#This Row],[‫ابریل‬‏]]),"")</f>
        <v>122.18333333333334</v>
      </c>
      <c r="V118" s="1">
        <f>IFERROR(AVERAGE(Wholesale[[#This Row],[‫مارس‬‏]]:Wholesale[[#This Row],[‫ینایر‬‏]]),"")</f>
        <v>121.08</v>
      </c>
    </row>
    <row r="119" spans="1:22" x14ac:dyDescent="0.35">
      <c r="A119" s="1">
        <v>0.7</v>
      </c>
      <c r="B119" s="1">
        <v>132.57</v>
      </c>
      <c r="C119" s="1">
        <v>133.47999999999999</v>
      </c>
      <c r="D119" s="1">
        <v>137.41999999999999</v>
      </c>
      <c r="E119" s="1">
        <v>133.80000000000001</v>
      </c>
      <c r="F119" s="1">
        <v>133.61000000000001</v>
      </c>
      <c r="G119" s="1">
        <v>133.61000000000001</v>
      </c>
      <c r="H119" s="1">
        <v>129.41999999999999</v>
      </c>
      <c r="I119" s="1">
        <v>133.61000000000001</v>
      </c>
      <c r="J119" s="1">
        <v>133.61000000000001</v>
      </c>
      <c r="K119" s="1">
        <v>136.25</v>
      </c>
      <c r="L119" s="1">
        <v>135.25</v>
      </c>
      <c r="M119" s="1">
        <v>135.08000000000001</v>
      </c>
      <c r="N119" s="1">
        <v>135.08000000000001</v>
      </c>
      <c r="O119" s="1">
        <v>125.02</v>
      </c>
      <c r="P119" t="s">
        <v>25</v>
      </c>
      <c r="Q119" t="s">
        <v>126</v>
      </c>
      <c r="R119" s="1" t="s">
        <v>154</v>
      </c>
      <c r="S119" s="1">
        <f>IFERROR(AVERAGE(Wholesale[[#This Row],[‫دیسمبر‬‏]]:Wholesale[[#This Row],[‫اكتوبر‬‏]]),"")</f>
        <v>134.94333333333336</v>
      </c>
      <c r="T119" s="1">
        <f>IFERROR(AVERAGE(Wholesale[[#This Row],[‫سبتمبر‬‏]]:Wholesale[[#This Row],[‫یولیو‬‏]]),"")</f>
        <v>132.21333333333334</v>
      </c>
      <c r="U119" s="1">
        <f>IFERROR(AVERAGE(Wholesale[[#This Row],[‫یونیو‬‏]]:Wholesale[[#This Row],[‫ابریل‬‏]]),"")</f>
        <v>135.03666666666666</v>
      </c>
      <c r="V119" s="1">
        <f>IFERROR(AVERAGE(Wholesale[[#This Row],[‫مارس‬‏]]:Wholesale[[#This Row],[‫ینایر‬‏]]),"")</f>
        <v>131.72666666666666</v>
      </c>
    </row>
    <row r="120" spans="1:22" x14ac:dyDescent="0.35">
      <c r="A120" s="1">
        <v>7.7</v>
      </c>
      <c r="B120" s="1">
        <v>102.74</v>
      </c>
      <c r="C120" s="1">
        <v>110.23</v>
      </c>
      <c r="D120" s="1">
        <v>107.23</v>
      </c>
      <c r="E120" s="1">
        <v>109.36</v>
      </c>
      <c r="F120" s="1">
        <v>109.36</v>
      </c>
      <c r="G120" s="1">
        <v>109.36</v>
      </c>
      <c r="H120" s="1">
        <v>122.9</v>
      </c>
      <c r="I120" s="1">
        <v>109.36</v>
      </c>
      <c r="J120" s="1">
        <v>109.36</v>
      </c>
      <c r="K120" s="1">
        <v>105.51</v>
      </c>
      <c r="L120" s="1">
        <v>106.23</v>
      </c>
      <c r="M120" s="1">
        <v>106.23</v>
      </c>
      <c r="N120" s="1">
        <v>106.23</v>
      </c>
      <c r="O120" s="1">
        <v>121.57</v>
      </c>
      <c r="P120" t="s">
        <v>25</v>
      </c>
      <c r="Q120" t="s">
        <v>127</v>
      </c>
      <c r="R120" s="1" t="s">
        <v>154</v>
      </c>
      <c r="S120" s="1">
        <f>IFERROR(AVERAGE(Wholesale[[#This Row],[‫دیسمبر‬‏]]:Wholesale[[#This Row],[‫اكتوبر‬‏]]),"")</f>
        <v>108.64999999999999</v>
      </c>
      <c r="T120" s="1">
        <f>IFERROR(AVERAGE(Wholesale[[#This Row],[‫سبتمبر‬‏]]:Wholesale[[#This Row],[‫یولیو‬‏]]),"")</f>
        <v>113.87333333333333</v>
      </c>
      <c r="U120" s="1">
        <f>IFERROR(AVERAGE(Wholesale[[#This Row],[‫یونیو‬‏]]:Wholesale[[#This Row],[‫ابریل‬‏]]),"")</f>
        <v>107.03333333333335</v>
      </c>
      <c r="V120" s="1">
        <f>IFERROR(AVERAGE(Wholesale[[#This Row],[‫مارس‬‏]]:Wholesale[[#This Row],[‫ینایر‬‏]]),"")</f>
        <v>111.34333333333332</v>
      </c>
    </row>
    <row r="121" spans="1:22" x14ac:dyDescent="0.35">
      <c r="A121" s="1">
        <v>10.6</v>
      </c>
      <c r="B121" s="1">
        <v>65.88</v>
      </c>
      <c r="C121" s="1">
        <v>72.63</v>
      </c>
      <c r="D121" s="1">
        <v>68.63</v>
      </c>
      <c r="E121" s="1">
        <v>77.77</v>
      </c>
      <c r="F121" s="1">
        <v>77.23</v>
      </c>
      <c r="G121" s="1">
        <v>77.23</v>
      </c>
      <c r="H121" s="1">
        <v>69.150000000000006</v>
      </c>
      <c r="I121" s="1">
        <v>77.23</v>
      </c>
      <c r="J121" s="1">
        <v>77.23</v>
      </c>
      <c r="K121" s="1">
        <v>70.34</v>
      </c>
      <c r="L121" s="1">
        <v>68.040000000000006</v>
      </c>
      <c r="M121" s="1">
        <v>68.040000000000006</v>
      </c>
      <c r="N121" s="1">
        <v>69.930000000000007</v>
      </c>
      <c r="O121" s="1">
        <v>70.739999999999995</v>
      </c>
      <c r="P121" t="s">
        <v>25</v>
      </c>
      <c r="Q121" t="s">
        <v>128</v>
      </c>
      <c r="R121" s="1" t="s">
        <v>154</v>
      </c>
      <c r="S121" s="1">
        <f>IFERROR(AVERAGE(Wholesale[[#This Row],[‫دیسمبر‬‏]]:Wholesale[[#This Row],[‫اكتوبر‬‏]]),"")</f>
        <v>74.543333333333337</v>
      </c>
      <c r="T121" s="1">
        <f>IFERROR(AVERAGE(Wholesale[[#This Row],[‫سبتمبر‬‏]]:Wholesale[[#This Row],[‫یولیو‬‏]]),"")</f>
        <v>74.536666666666676</v>
      </c>
      <c r="U121" s="1">
        <f>IFERROR(AVERAGE(Wholesale[[#This Row],[‫یونیو‬‏]]:Wholesale[[#This Row],[‫ابریل‬‏]]),"")</f>
        <v>71.87</v>
      </c>
      <c r="V121" s="1">
        <f>IFERROR(AVERAGE(Wholesale[[#This Row],[‫مارس‬‏]]:Wholesale[[#This Row],[‫ینایر‬‏]]),"")</f>
        <v>69.570000000000007</v>
      </c>
    </row>
    <row r="122" spans="1:22" x14ac:dyDescent="0.35">
      <c r="A122" s="1">
        <v>3.5</v>
      </c>
      <c r="B122" s="1">
        <v>36.840000000000003</v>
      </c>
      <c r="C122" s="1">
        <v>38.03</v>
      </c>
      <c r="D122" s="1">
        <v>37.6</v>
      </c>
      <c r="E122" s="1">
        <v>37.6</v>
      </c>
      <c r="F122" s="1">
        <v>37.6</v>
      </c>
      <c r="G122" s="1">
        <v>37.6</v>
      </c>
      <c r="H122" s="1">
        <v>43.17</v>
      </c>
      <c r="I122" s="1">
        <v>37.54</v>
      </c>
      <c r="J122" s="1">
        <v>37.54</v>
      </c>
      <c r="K122" s="1">
        <v>36.89</v>
      </c>
      <c r="L122" s="1">
        <v>36.520000000000003</v>
      </c>
      <c r="M122" s="1">
        <v>36.270000000000003</v>
      </c>
      <c r="N122" s="1">
        <v>36.270000000000003</v>
      </c>
      <c r="O122" s="1">
        <v>41.71</v>
      </c>
      <c r="P122" t="s">
        <v>25</v>
      </c>
      <c r="Q122" t="s">
        <v>196</v>
      </c>
      <c r="R122" s="1" t="s">
        <v>154</v>
      </c>
      <c r="S122" s="1">
        <f>IFERROR(AVERAGE(Wholesale[[#This Row],[‫دیسمبر‬‏]]:Wholesale[[#This Row],[‫اكتوبر‬‏]]),"")</f>
        <v>37.6</v>
      </c>
      <c r="T122" s="1">
        <f>IFERROR(AVERAGE(Wholesale[[#This Row],[‫سبتمبر‬‏]]:Wholesale[[#This Row],[‫یولیو‬‏]]),"")</f>
        <v>39.436666666666667</v>
      </c>
      <c r="U122" s="1">
        <f>IFERROR(AVERAGE(Wholesale[[#This Row],[‫یونیو‬‏]]:Wholesale[[#This Row],[‫ابریل‬‏]]),"")</f>
        <v>36.983333333333341</v>
      </c>
      <c r="V122" s="1">
        <f>IFERROR(AVERAGE(Wholesale[[#This Row],[‫مارس‬‏]]:Wholesale[[#This Row],[‫ینایر‬‏]]),"")</f>
        <v>38.083333333333336</v>
      </c>
    </row>
    <row r="123" spans="1:22" x14ac:dyDescent="0.35">
      <c r="A123" s="1">
        <v>-8.6</v>
      </c>
      <c r="B123" s="1">
        <v>148.65</v>
      </c>
      <c r="C123" s="1">
        <v>135.84</v>
      </c>
      <c r="D123" s="1">
        <v>95</v>
      </c>
      <c r="E123" s="1">
        <v>142.5</v>
      </c>
      <c r="F123" s="1">
        <v>142.5</v>
      </c>
      <c r="G123" s="1">
        <v>188.33</v>
      </c>
      <c r="H123" s="1">
        <v>110</v>
      </c>
      <c r="I123" s="1">
        <v>142.5</v>
      </c>
      <c r="J123" s="1">
        <v>142.5</v>
      </c>
      <c r="K123" s="1">
        <v>142.5</v>
      </c>
      <c r="L123" s="1">
        <v>142.5</v>
      </c>
      <c r="M123" s="1">
        <v>142.5</v>
      </c>
      <c r="N123" s="1">
        <v>129.24</v>
      </c>
      <c r="O123" s="1">
        <v>110</v>
      </c>
      <c r="P123" t="s">
        <v>25</v>
      </c>
      <c r="Q123" t="s">
        <v>197</v>
      </c>
      <c r="R123" s="1" t="s">
        <v>154</v>
      </c>
      <c r="S123" s="1">
        <f>IFERROR(AVERAGE(Wholesale[[#This Row],[‫دیسمبر‬‏]]:Wholesale[[#This Row],[‫اكتوبر‬‏]]),"")</f>
        <v>126.66666666666667</v>
      </c>
      <c r="T123" s="1">
        <f>IFERROR(AVERAGE(Wholesale[[#This Row],[‫سبتمبر‬‏]]:Wholesale[[#This Row],[‫یولیو‬‏]]),"")</f>
        <v>146.94333333333336</v>
      </c>
      <c r="U123" s="1">
        <f>IFERROR(AVERAGE(Wholesale[[#This Row],[‫یونیو‬‏]]:Wholesale[[#This Row],[‫ابریل‬‏]]),"")</f>
        <v>142.5</v>
      </c>
      <c r="V123" s="1">
        <f>IFERROR(AVERAGE(Wholesale[[#This Row],[‫مارس‬‏]]:Wholesale[[#This Row],[‫ینایر‬‏]]),"")</f>
        <v>127.24666666666667</v>
      </c>
    </row>
    <row r="124" spans="1:22" x14ac:dyDescent="0.35">
      <c r="A124" s="1">
        <v>7.5</v>
      </c>
      <c r="B124" s="1">
        <v>216.78</v>
      </c>
      <c r="C124" s="1">
        <v>233.05</v>
      </c>
      <c r="D124" s="1">
        <v>236.09</v>
      </c>
      <c r="E124" s="1">
        <v>236.6</v>
      </c>
      <c r="F124" s="1">
        <v>236.18</v>
      </c>
      <c r="G124" s="1">
        <v>224.93</v>
      </c>
      <c r="H124" s="1">
        <v>223.53</v>
      </c>
      <c r="I124" s="1">
        <v>237.15</v>
      </c>
      <c r="J124" s="1">
        <v>237.15</v>
      </c>
      <c r="K124" s="1">
        <v>236.6</v>
      </c>
      <c r="L124" s="1">
        <v>235.64</v>
      </c>
      <c r="M124" s="1">
        <v>235.26</v>
      </c>
      <c r="N124" s="1">
        <v>235.26</v>
      </c>
      <c r="O124" s="1">
        <v>222.18</v>
      </c>
      <c r="P124" t="s">
        <v>25</v>
      </c>
      <c r="Q124" t="s">
        <v>198</v>
      </c>
      <c r="R124" s="1" t="s">
        <v>154</v>
      </c>
      <c r="S124" s="1">
        <f>IFERROR(AVERAGE(Wholesale[[#This Row],[‫دیسمبر‬‏]]:Wholesale[[#This Row],[‫اكتوبر‬‏]]),"")</f>
        <v>236.29</v>
      </c>
      <c r="T124" s="1">
        <f>IFERROR(AVERAGE(Wholesale[[#This Row],[‫سبتمبر‬‏]]:Wholesale[[#This Row],[‫یولیو‬‏]]),"")</f>
        <v>228.53666666666666</v>
      </c>
      <c r="U124" s="1">
        <f>IFERROR(AVERAGE(Wholesale[[#This Row],[‫یونیو‬‏]]:Wholesale[[#This Row],[‫ابریل‬‏]]),"")</f>
        <v>236.46333333333334</v>
      </c>
      <c r="V124" s="1">
        <f>IFERROR(AVERAGE(Wholesale[[#This Row],[‫مارس‬‏]]:Wholesale[[#This Row],[‫ینایر‬‏]]),"")</f>
        <v>230.9</v>
      </c>
    </row>
    <row r="125" spans="1:22" x14ac:dyDescent="0.35">
      <c r="A125" s="1">
        <v>6.5</v>
      </c>
      <c r="B125" s="1">
        <v>248.73</v>
      </c>
      <c r="C125" s="1">
        <v>265.01</v>
      </c>
      <c r="D125" s="1">
        <v>278.33</v>
      </c>
      <c r="E125" s="1">
        <v>254</v>
      </c>
      <c r="F125" s="1">
        <v>253.33</v>
      </c>
      <c r="G125" s="1">
        <v>274</v>
      </c>
      <c r="H125" s="1">
        <v>261.19</v>
      </c>
      <c r="I125" s="1">
        <v>253.33</v>
      </c>
      <c r="J125" s="1">
        <v>253.33</v>
      </c>
      <c r="K125" s="1">
        <v>274.29000000000002</v>
      </c>
      <c r="L125" s="1">
        <v>274.29000000000002</v>
      </c>
      <c r="M125" s="1">
        <v>272.86</v>
      </c>
      <c r="N125" s="1">
        <v>272.14</v>
      </c>
      <c r="O125" s="1">
        <v>259.05</v>
      </c>
      <c r="P125" t="s">
        <v>25</v>
      </c>
      <c r="Q125" t="s">
        <v>199</v>
      </c>
      <c r="R125" s="1" t="s">
        <v>154</v>
      </c>
      <c r="S125" s="1">
        <f>IFERROR(AVERAGE(Wholesale[[#This Row],[‫دیسمبر‬‏]]:Wholesale[[#This Row],[‫اكتوبر‬‏]]),"")</f>
        <v>261.88666666666666</v>
      </c>
      <c r="T125" s="1">
        <f>IFERROR(AVERAGE(Wholesale[[#This Row],[‫سبتمبر‬‏]]:Wholesale[[#This Row],[‫یولیو‬‏]]),"")</f>
        <v>262.84000000000003</v>
      </c>
      <c r="U125" s="1">
        <f>IFERROR(AVERAGE(Wholesale[[#This Row],[‫یونیو‬‏]]:Wholesale[[#This Row],[‫ابریل‬‏]]),"")</f>
        <v>267.30333333333334</v>
      </c>
      <c r="V125" s="1">
        <f>IFERROR(AVERAGE(Wholesale[[#This Row],[‫مارس‬‏]]:Wholesale[[#This Row],[‫ینایر‬‏]]),"")</f>
        <v>268.01666666666665</v>
      </c>
    </row>
    <row r="126" spans="1:22" x14ac:dyDescent="0.35">
      <c r="A126" s="1">
        <v>49.7</v>
      </c>
      <c r="B126" s="1">
        <v>99</v>
      </c>
      <c r="C126" s="1">
        <v>145.19999999999999</v>
      </c>
      <c r="D126" s="1">
        <v>139.16999999999999</v>
      </c>
      <c r="E126" s="1">
        <v>155.33000000000001</v>
      </c>
      <c r="F126" s="1">
        <v>152.66999999999999</v>
      </c>
      <c r="G126" s="1">
        <v>152.66999999999999</v>
      </c>
      <c r="H126" s="1">
        <v>176</v>
      </c>
      <c r="I126" s="1">
        <v>152.66999999999999</v>
      </c>
      <c r="J126" s="1">
        <v>152.66999999999999</v>
      </c>
      <c r="K126" s="1">
        <v>132.91999999999999</v>
      </c>
      <c r="L126" s="1">
        <v>132.88</v>
      </c>
      <c r="M126" s="1">
        <v>132.82</v>
      </c>
      <c r="N126" s="1">
        <v>131.58000000000001</v>
      </c>
      <c r="O126" s="1">
        <v>130.99</v>
      </c>
      <c r="P126" t="s">
        <v>25</v>
      </c>
      <c r="Q126" t="s">
        <v>200</v>
      </c>
      <c r="R126" s="1" t="s">
        <v>154</v>
      </c>
      <c r="S126" s="1">
        <f>IFERROR(AVERAGE(Wholesale[[#This Row],[‫دیسمبر‬‏]]:Wholesale[[#This Row],[‫اكتوبر‬‏]]),"")</f>
        <v>149.05666666666664</v>
      </c>
      <c r="T126" s="1">
        <f>IFERROR(AVERAGE(Wholesale[[#This Row],[‫سبتمبر‬‏]]:Wholesale[[#This Row],[‫یولیو‬‏]]),"")</f>
        <v>160.44666666666663</v>
      </c>
      <c r="U126" s="1">
        <f>IFERROR(AVERAGE(Wholesale[[#This Row],[‫یونیو‬‏]]:Wholesale[[#This Row],[‫ابریل‬‏]]),"")</f>
        <v>139.48999999999998</v>
      </c>
      <c r="V126" s="1">
        <f>IFERROR(AVERAGE(Wholesale[[#This Row],[‫مارس‬‏]]:Wholesale[[#This Row],[‫ینایر‬‏]]),"")</f>
        <v>131.79666666666665</v>
      </c>
    </row>
    <row r="127" spans="1:22" x14ac:dyDescent="0.35">
      <c r="A127" s="1">
        <v>31.4</v>
      </c>
      <c r="B127" s="1">
        <v>91.88</v>
      </c>
      <c r="C127" s="1">
        <v>120.71</v>
      </c>
      <c r="D127" s="1">
        <v>113.76</v>
      </c>
      <c r="E127" s="1">
        <v>136.78</v>
      </c>
      <c r="F127" s="1">
        <v>135.94</v>
      </c>
      <c r="G127" s="1">
        <v>135.94</v>
      </c>
      <c r="H127" s="1">
        <v>107.97</v>
      </c>
      <c r="I127" s="1">
        <v>135.94</v>
      </c>
      <c r="J127" s="1">
        <v>135.94</v>
      </c>
      <c r="K127" s="1">
        <v>111.79</v>
      </c>
      <c r="L127" s="1">
        <v>111.79</v>
      </c>
      <c r="M127" s="1">
        <v>110.12</v>
      </c>
      <c r="N127" s="1">
        <v>107.55</v>
      </c>
      <c r="O127" s="1">
        <v>104.97</v>
      </c>
      <c r="P127" t="s">
        <v>25</v>
      </c>
      <c r="Q127" t="s">
        <v>201</v>
      </c>
      <c r="R127" s="1" t="s">
        <v>154</v>
      </c>
      <c r="S127" s="1">
        <f>IFERROR(AVERAGE(Wholesale[[#This Row],[‫دیسمبر‬‏]]:Wholesale[[#This Row],[‫اكتوبر‬‏]]),"")</f>
        <v>128.82666666666668</v>
      </c>
      <c r="T127" s="1">
        <f>IFERROR(AVERAGE(Wholesale[[#This Row],[‫سبتمبر‬‏]]:Wholesale[[#This Row],[‫یولیو‬‏]]),"")</f>
        <v>126.61666666666667</v>
      </c>
      <c r="U127" s="1">
        <f>IFERROR(AVERAGE(Wholesale[[#This Row],[‫یونیو‬‏]]:Wholesale[[#This Row],[‫ابریل‬‏]]),"")</f>
        <v>119.84000000000002</v>
      </c>
      <c r="V127" s="1">
        <f>IFERROR(AVERAGE(Wholesale[[#This Row],[‫مارس‬‏]]:Wholesale[[#This Row],[‫ینایر‬‏]]),"")</f>
        <v>107.54666666666667</v>
      </c>
    </row>
    <row r="128" spans="1:22" x14ac:dyDescent="0.35">
      <c r="A128" s="1">
        <v>2.4</v>
      </c>
      <c r="B128" s="1">
        <v>1372.7</v>
      </c>
      <c r="C128" s="1">
        <v>1405.18</v>
      </c>
      <c r="D128" s="1">
        <v>1308.81</v>
      </c>
      <c r="E128" s="1">
        <v>1526.94</v>
      </c>
      <c r="F128" s="1">
        <v>1526.94</v>
      </c>
      <c r="G128" s="1">
        <v>1526.94</v>
      </c>
      <c r="H128" s="1">
        <v>1164.17</v>
      </c>
      <c r="I128" s="1">
        <v>1526.94</v>
      </c>
      <c r="J128" s="1">
        <v>1451.94</v>
      </c>
      <c r="K128" s="1">
        <v>1449.17</v>
      </c>
      <c r="L128" s="1">
        <v>1449.17</v>
      </c>
      <c r="M128" s="1">
        <v>1449.17</v>
      </c>
      <c r="N128" s="1">
        <v>1242.1400000000001</v>
      </c>
      <c r="O128" s="1">
        <v>1239.76</v>
      </c>
      <c r="P128" t="s">
        <v>202</v>
      </c>
      <c r="Q128" t="s">
        <v>203</v>
      </c>
      <c r="R128" s="1" t="s">
        <v>154</v>
      </c>
      <c r="S128" s="1">
        <f>IFERROR(AVERAGE(Wholesale[[#This Row],[‫دیسمبر‬‏]]:Wholesale[[#This Row],[‫اكتوبر‬‏]]),"")</f>
        <v>1454.2300000000002</v>
      </c>
      <c r="T128" s="1">
        <f>IFERROR(AVERAGE(Wholesale[[#This Row],[‫سبتمبر‬‏]]:Wholesale[[#This Row],[‫یولیو‬‏]]),"")</f>
        <v>1406.0166666666667</v>
      </c>
      <c r="U128" s="1">
        <f>IFERROR(AVERAGE(Wholesale[[#This Row],[‫یونیو‬‏]]:Wholesale[[#This Row],[‫ابریل‬‏]]),"")</f>
        <v>1450.0933333333335</v>
      </c>
      <c r="V128" s="1">
        <f>IFERROR(AVERAGE(Wholesale[[#This Row],[‫مارس‬‏]]:Wholesale[[#This Row],[‫ینایر‬‏]]),"")</f>
        <v>1310.3566666666668</v>
      </c>
    </row>
    <row r="129" spans="1:22" x14ac:dyDescent="0.35">
      <c r="A129" s="1">
        <v>10.7</v>
      </c>
      <c r="B129" s="1">
        <v>129.85</v>
      </c>
      <c r="C129" s="1">
        <v>143.76</v>
      </c>
      <c r="D129" s="1">
        <v>142.93</v>
      </c>
      <c r="E129" s="1">
        <v>145.91999999999999</v>
      </c>
      <c r="F129" s="1">
        <v>145.91999999999999</v>
      </c>
      <c r="G129" s="1">
        <v>145.91999999999999</v>
      </c>
      <c r="H129" s="1">
        <v>142.93</v>
      </c>
      <c r="I129" s="1">
        <v>145.91999999999999</v>
      </c>
      <c r="J129" s="1">
        <v>145.91999999999999</v>
      </c>
      <c r="K129" s="1">
        <v>142.74</v>
      </c>
      <c r="L129" s="1">
        <v>142.74</v>
      </c>
      <c r="M129" s="1">
        <v>142.02000000000001</v>
      </c>
      <c r="N129" s="1">
        <v>142.02000000000001</v>
      </c>
      <c r="O129" s="1">
        <v>140.21</v>
      </c>
      <c r="P129" t="s">
        <v>25</v>
      </c>
      <c r="Q129" t="s">
        <v>204</v>
      </c>
      <c r="R129" s="1" t="s">
        <v>154</v>
      </c>
      <c r="S129" s="1">
        <f>IFERROR(AVERAGE(Wholesale[[#This Row],[‫دیسمبر‬‏]]:Wholesale[[#This Row],[‫اكتوبر‬‏]]),"")</f>
        <v>144.92333333333332</v>
      </c>
      <c r="T129" s="1">
        <f>IFERROR(AVERAGE(Wholesale[[#This Row],[‫سبتمبر‬‏]]:Wholesale[[#This Row],[‫یولیو‬‏]]),"")</f>
        <v>144.92333333333332</v>
      </c>
      <c r="U129" s="1">
        <f>IFERROR(AVERAGE(Wholesale[[#This Row],[‫یونیو‬‏]]:Wholesale[[#This Row],[‫ابریل‬‏]]),"")</f>
        <v>143.79999999999998</v>
      </c>
      <c r="V129" s="1">
        <f>IFERROR(AVERAGE(Wholesale[[#This Row],[‫مارس‬‏]]:Wholesale[[#This Row],[‫ینایر‬‏]]),"")</f>
        <v>141.41666666666666</v>
      </c>
    </row>
    <row r="130" spans="1:22" x14ac:dyDescent="0.35">
      <c r="A130" s="1">
        <v>4.8</v>
      </c>
      <c r="B130" s="1">
        <v>62.77</v>
      </c>
      <c r="C130" s="1">
        <v>65.8</v>
      </c>
      <c r="D130" s="1">
        <v>68.61</v>
      </c>
      <c r="E130" s="1">
        <v>68.61</v>
      </c>
      <c r="F130" s="1">
        <v>68.61</v>
      </c>
      <c r="G130" s="1">
        <v>68.61</v>
      </c>
      <c r="H130" s="1">
        <v>58.67</v>
      </c>
      <c r="I130" s="1">
        <v>68.61</v>
      </c>
      <c r="J130" s="1">
        <v>68.61</v>
      </c>
      <c r="K130" s="1">
        <v>68.61</v>
      </c>
      <c r="L130" s="1">
        <v>68.61</v>
      </c>
      <c r="M130" s="1">
        <v>61.67</v>
      </c>
      <c r="N130" s="1">
        <v>61.67</v>
      </c>
      <c r="O130" s="1">
        <v>58.67</v>
      </c>
      <c r="P130" t="s">
        <v>25</v>
      </c>
      <c r="Q130" t="s">
        <v>205</v>
      </c>
      <c r="R130" s="1" t="s">
        <v>154</v>
      </c>
      <c r="S130" s="1">
        <f>IFERROR(AVERAGE(Wholesale[[#This Row],[‫دیسمبر‬‏]]:Wholesale[[#This Row],[‫اكتوبر‬‏]]),"")</f>
        <v>68.61</v>
      </c>
      <c r="T130" s="1">
        <f>IFERROR(AVERAGE(Wholesale[[#This Row],[‫سبتمبر‬‏]]:Wholesale[[#This Row],[‫یولیو‬‏]]),"")</f>
        <v>65.296666666666667</v>
      </c>
      <c r="U130" s="1">
        <f>IFERROR(AVERAGE(Wholesale[[#This Row],[‫یونیو‬‏]]:Wholesale[[#This Row],[‫ابریل‬‏]]),"")</f>
        <v>68.61</v>
      </c>
      <c r="V130" s="1">
        <f>IFERROR(AVERAGE(Wholesale[[#This Row],[‫مارس‬‏]]:Wholesale[[#This Row],[‫ینایر‬‏]]),"")</f>
        <v>60.669999999999995</v>
      </c>
    </row>
    <row r="131" spans="1:22" x14ac:dyDescent="0.35">
      <c r="A131" s="1">
        <v>68.8</v>
      </c>
      <c r="B131" s="1">
        <v>25.76</v>
      </c>
      <c r="C131" s="1">
        <v>43.48</v>
      </c>
      <c r="D131" s="1">
        <v>41.26</v>
      </c>
      <c r="E131" s="1">
        <v>47.51</v>
      </c>
      <c r="F131" s="1">
        <v>47.35</v>
      </c>
      <c r="G131" s="1">
        <v>47.35</v>
      </c>
      <c r="H131" s="1">
        <v>46.85</v>
      </c>
      <c r="I131" s="1">
        <v>47.35</v>
      </c>
      <c r="J131" s="1">
        <v>47.35</v>
      </c>
      <c r="K131" s="1">
        <v>40.130000000000003</v>
      </c>
      <c r="L131" s="1">
        <v>39.119999999999997</v>
      </c>
      <c r="M131" s="1">
        <v>38.58</v>
      </c>
      <c r="N131" s="1">
        <v>38.090000000000003</v>
      </c>
      <c r="O131" s="1">
        <v>40.86</v>
      </c>
      <c r="P131" t="s">
        <v>25</v>
      </c>
      <c r="Q131" t="s">
        <v>206</v>
      </c>
      <c r="R131" s="1" t="s">
        <v>154</v>
      </c>
      <c r="S131" s="1">
        <f>IFERROR(AVERAGE(Wholesale[[#This Row],[‫دیسمبر‬‏]]:Wholesale[[#This Row],[‫اكتوبر‬‏]]),"")</f>
        <v>45.373333333333335</v>
      </c>
      <c r="T131" s="1">
        <f>IFERROR(AVERAGE(Wholesale[[#This Row],[‫سبتمبر‬‏]]:Wholesale[[#This Row],[‫یولیو‬‏]]),"")</f>
        <v>47.183333333333337</v>
      </c>
      <c r="U131" s="1">
        <f>IFERROR(AVERAGE(Wholesale[[#This Row],[‫یونیو‬‏]]:Wholesale[[#This Row],[‫ابریل‬‏]]),"")</f>
        <v>42.199999999999996</v>
      </c>
      <c r="V131" s="1">
        <f>IFERROR(AVERAGE(Wholesale[[#This Row],[‫مارس‬‏]]:Wholesale[[#This Row],[‫ینایر‬‏]]),"")</f>
        <v>39.176666666666669</v>
      </c>
    </row>
    <row r="132" spans="1:22" x14ac:dyDescent="0.35">
      <c r="A132" s="1">
        <v>37.4</v>
      </c>
      <c r="B132" s="1">
        <v>138.57</v>
      </c>
      <c r="C132" s="1">
        <v>190.43</v>
      </c>
      <c r="D132" s="1">
        <v>203</v>
      </c>
      <c r="E132" s="1">
        <v>203</v>
      </c>
      <c r="F132" s="1">
        <v>199</v>
      </c>
      <c r="G132" s="1">
        <v>199</v>
      </c>
      <c r="H132" s="1">
        <v>172.39</v>
      </c>
      <c r="I132" s="1">
        <v>199</v>
      </c>
      <c r="J132" s="1">
        <v>191</v>
      </c>
      <c r="K132" s="1">
        <v>191</v>
      </c>
      <c r="L132" s="1">
        <v>191</v>
      </c>
      <c r="M132" s="1">
        <v>191</v>
      </c>
      <c r="N132" s="1">
        <v>186.6</v>
      </c>
      <c r="O132" s="1">
        <v>159.13999999999999</v>
      </c>
      <c r="P132" t="s">
        <v>25</v>
      </c>
      <c r="Q132" t="s">
        <v>207</v>
      </c>
      <c r="R132" s="1" t="s">
        <v>154</v>
      </c>
      <c r="S132" s="1">
        <f>IFERROR(AVERAGE(Wholesale[[#This Row],[‫دیسمبر‬‏]]:Wholesale[[#This Row],[‫اكتوبر‬‏]]),"")</f>
        <v>201.66666666666666</v>
      </c>
      <c r="T132" s="1">
        <f>IFERROR(AVERAGE(Wholesale[[#This Row],[‫سبتمبر‬‏]]:Wholesale[[#This Row],[‫یولیو‬‏]]),"")</f>
        <v>190.13</v>
      </c>
      <c r="U132" s="1">
        <f>IFERROR(AVERAGE(Wholesale[[#This Row],[‫یونیو‬‏]]:Wholesale[[#This Row],[‫ابریل‬‏]]),"")</f>
        <v>191</v>
      </c>
      <c r="V132" s="1">
        <f>IFERROR(AVERAGE(Wholesale[[#This Row],[‫مارس‬‏]]:Wholesale[[#This Row],[‫ینایر‬‏]]),"")</f>
        <v>178.91333333333333</v>
      </c>
    </row>
    <row r="133" spans="1:22" x14ac:dyDescent="0.35">
      <c r="A133" s="1">
        <v>53.2</v>
      </c>
      <c r="B133" s="1">
        <v>260.69</v>
      </c>
      <c r="C133" s="1">
        <v>399.4</v>
      </c>
      <c r="D133" s="1">
        <v>423</v>
      </c>
      <c r="E133" s="1">
        <v>430</v>
      </c>
      <c r="F133" s="1">
        <v>430</v>
      </c>
      <c r="G133" s="1">
        <v>430</v>
      </c>
      <c r="H133" s="1">
        <v>398.83</v>
      </c>
      <c r="I133" s="1">
        <v>421.48</v>
      </c>
      <c r="J133" s="1">
        <v>387.78</v>
      </c>
      <c r="K133" s="1">
        <v>402.33</v>
      </c>
      <c r="L133" s="1">
        <v>392.83</v>
      </c>
      <c r="M133" s="1">
        <v>356.5</v>
      </c>
      <c r="N133" s="1">
        <v>378.17</v>
      </c>
      <c r="O133" s="1">
        <v>341.83</v>
      </c>
      <c r="P133" t="s">
        <v>25</v>
      </c>
      <c r="Q133" t="s">
        <v>208</v>
      </c>
      <c r="R133" s="1" t="s">
        <v>154</v>
      </c>
      <c r="S133" s="1">
        <f>IFERROR(AVERAGE(Wholesale[[#This Row],[‫دیسمبر‬‏]]:Wholesale[[#This Row],[‫اكتوبر‬‏]]),"")</f>
        <v>427.66666666666669</v>
      </c>
      <c r="T133" s="1">
        <f>IFERROR(AVERAGE(Wholesale[[#This Row],[‫سبتمبر‬‏]]:Wholesale[[#This Row],[‫یولیو‬‏]]),"")</f>
        <v>416.77</v>
      </c>
      <c r="U133" s="1">
        <f>IFERROR(AVERAGE(Wholesale[[#This Row],[‫یونیو‬‏]]:Wholesale[[#This Row],[‫ابریل‬‏]]),"")</f>
        <v>394.31333333333328</v>
      </c>
      <c r="V133" s="1">
        <f>IFERROR(AVERAGE(Wholesale[[#This Row],[‫مارس‬‏]]:Wholesale[[#This Row],[‫ینایر‬‏]]),"")</f>
        <v>358.83333333333331</v>
      </c>
    </row>
    <row r="134" spans="1:22" x14ac:dyDescent="0.35">
      <c r="A134" s="1">
        <v>13.4</v>
      </c>
      <c r="B134" s="1">
        <v>14.48</v>
      </c>
      <c r="C134" s="1">
        <v>16.41</v>
      </c>
      <c r="D134" s="1">
        <v>14.33</v>
      </c>
      <c r="E134" s="1">
        <v>20.75</v>
      </c>
      <c r="F134" s="1">
        <v>20.75</v>
      </c>
      <c r="G134" s="1">
        <v>20.75</v>
      </c>
      <c r="H134" s="1">
        <v>10.75</v>
      </c>
      <c r="I134" s="1">
        <v>20.75</v>
      </c>
      <c r="J134" s="1">
        <v>20.75</v>
      </c>
      <c r="K134" s="1">
        <v>14.33</v>
      </c>
      <c r="L134" s="1">
        <v>14.33</v>
      </c>
      <c r="M134" s="1">
        <v>14.33</v>
      </c>
      <c r="N134" s="1">
        <v>10.75</v>
      </c>
      <c r="O134" s="1">
        <v>14.33</v>
      </c>
      <c r="P134" t="s">
        <v>209</v>
      </c>
      <c r="Q134" t="s">
        <v>210</v>
      </c>
      <c r="R134" s="1" t="s">
        <v>154</v>
      </c>
      <c r="S134" s="1">
        <f>IFERROR(AVERAGE(Wholesale[[#This Row],[‫دیسمبر‬‏]]:Wholesale[[#This Row],[‫اكتوبر‬‏]]),"")</f>
        <v>18.61</v>
      </c>
      <c r="T134" s="1">
        <f>IFERROR(AVERAGE(Wholesale[[#This Row],[‫سبتمبر‬‏]]:Wholesale[[#This Row],[‫یولیو‬‏]]),"")</f>
        <v>17.416666666666668</v>
      </c>
      <c r="U134" s="1">
        <f>IFERROR(AVERAGE(Wholesale[[#This Row],[‫یونیو‬‏]]:Wholesale[[#This Row],[‫ابریل‬‏]]),"")</f>
        <v>16.47</v>
      </c>
      <c r="V134" s="1">
        <f>IFERROR(AVERAGE(Wholesale[[#This Row],[‫مارس‬‏]]:Wholesale[[#This Row],[‫ینایر‬‏]]),"")</f>
        <v>13.136666666666665</v>
      </c>
    </row>
    <row r="135" spans="1:22" x14ac:dyDescent="0.35">
      <c r="A135" s="1">
        <v>26.4</v>
      </c>
      <c r="B135" s="1">
        <v>25.46</v>
      </c>
      <c r="C135" s="1">
        <v>32.17</v>
      </c>
      <c r="D135" s="1">
        <v>26</v>
      </c>
      <c r="E135" s="1">
        <v>26</v>
      </c>
      <c r="F135" s="1">
        <v>26</v>
      </c>
      <c r="G135" s="1">
        <v>117.33</v>
      </c>
      <c r="H135" s="1">
        <v>17.329999999999998</v>
      </c>
      <c r="I135" s="1">
        <v>26</v>
      </c>
      <c r="J135" s="1">
        <v>26</v>
      </c>
      <c r="K135" s="1">
        <v>26</v>
      </c>
      <c r="L135" s="1">
        <v>26</v>
      </c>
      <c r="M135" s="1">
        <v>26</v>
      </c>
      <c r="N135" s="1">
        <v>17.329999999999998</v>
      </c>
      <c r="O135" s="1">
        <v>26</v>
      </c>
      <c r="P135" t="s">
        <v>211</v>
      </c>
      <c r="Q135" t="s">
        <v>212</v>
      </c>
      <c r="R135" s="1" t="s">
        <v>154</v>
      </c>
      <c r="S135" s="1">
        <f>IFERROR(AVERAGE(Wholesale[[#This Row],[‫دیسمبر‬‏]]:Wholesale[[#This Row],[‫اكتوبر‬‏]]),"")</f>
        <v>26</v>
      </c>
      <c r="T135" s="1">
        <f>IFERROR(AVERAGE(Wholesale[[#This Row],[‫سبتمبر‬‏]]:Wholesale[[#This Row],[‫یولیو‬‏]]),"")</f>
        <v>53.553333333333335</v>
      </c>
      <c r="U135" s="1">
        <f>IFERROR(AVERAGE(Wholesale[[#This Row],[‫یونیو‬‏]]:Wholesale[[#This Row],[‫ابریل‬‏]]),"")</f>
        <v>26</v>
      </c>
      <c r="V135" s="1">
        <f>IFERROR(AVERAGE(Wholesale[[#This Row],[‫مارس‬‏]]:Wholesale[[#This Row],[‫ینایر‬‏]]),"")</f>
        <v>23.11</v>
      </c>
    </row>
    <row r="136" spans="1:22" x14ac:dyDescent="0.35">
      <c r="A136" s="1">
        <v>73.3</v>
      </c>
      <c r="B136" s="1">
        <v>112.95</v>
      </c>
      <c r="C136" s="1">
        <v>195.79</v>
      </c>
      <c r="D136" s="1">
        <v>208.57</v>
      </c>
      <c r="E136" s="1">
        <v>208.57</v>
      </c>
      <c r="F136" s="1">
        <v>205.71</v>
      </c>
      <c r="G136" s="1">
        <v>181.9</v>
      </c>
      <c r="H136" s="1">
        <v>203.33</v>
      </c>
      <c r="I136" s="1">
        <v>203.33</v>
      </c>
      <c r="J136" s="1">
        <v>196.19</v>
      </c>
      <c r="K136" s="1">
        <v>196.19</v>
      </c>
      <c r="L136" s="1">
        <v>188.57</v>
      </c>
      <c r="M136" s="1">
        <v>187.38</v>
      </c>
      <c r="N136" s="1">
        <v>185.57</v>
      </c>
      <c r="O136" s="1">
        <v>184.14</v>
      </c>
      <c r="P136" t="s">
        <v>213</v>
      </c>
      <c r="Q136" t="s">
        <v>214</v>
      </c>
      <c r="R136" s="1" t="s">
        <v>154</v>
      </c>
      <c r="S136" s="1">
        <f>IFERROR(AVERAGE(Wholesale[[#This Row],[‫دیسمبر‬‏]]:Wholesale[[#This Row],[‫اكتوبر‬‏]]),"")</f>
        <v>207.61666666666667</v>
      </c>
      <c r="T136" s="1">
        <f>IFERROR(AVERAGE(Wholesale[[#This Row],[‫سبتمبر‬‏]]:Wholesale[[#This Row],[‫یولیو‬‏]]),"")</f>
        <v>196.1866666666667</v>
      </c>
      <c r="U136" s="1">
        <f>IFERROR(AVERAGE(Wholesale[[#This Row],[‫یونیو‬‏]]:Wholesale[[#This Row],[‫ابریل‬‏]]),"")</f>
        <v>193.65</v>
      </c>
      <c r="V136" s="1">
        <f>IFERROR(AVERAGE(Wholesale[[#This Row],[‫مارس‬‏]]:Wholesale[[#This Row],[‫ینایر‬‏]]),"")</f>
        <v>185.69666666666663</v>
      </c>
    </row>
    <row r="137" spans="1:22" x14ac:dyDescent="0.35">
      <c r="A137" s="1">
        <v>23.8</v>
      </c>
      <c r="B137" s="1">
        <v>78.89</v>
      </c>
      <c r="C137" s="1">
        <v>97.64</v>
      </c>
      <c r="D137" s="1">
        <v>99.38</v>
      </c>
      <c r="E137" s="1">
        <v>101.25</v>
      </c>
      <c r="F137" s="1">
        <v>99.41</v>
      </c>
      <c r="G137" s="1">
        <v>94.77</v>
      </c>
      <c r="H137" s="1">
        <v>96.96</v>
      </c>
      <c r="I137" s="1">
        <v>99.58</v>
      </c>
      <c r="J137" s="1">
        <v>98.36</v>
      </c>
      <c r="K137" s="1">
        <v>96.69</v>
      </c>
      <c r="L137" s="1">
        <v>96.69</v>
      </c>
      <c r="M137" s="1">
        <v>96.54</v>
      </c>
      <c r="N137" s="1">
        <v>96.5</v>
      </c>
      <c r="O137" s="1">
        <v>95.56</v>
      </c>
      <c r="P137" t="s">
        <v>215</v>
      </c>
      <c r="Q137" t="s">
        <v>216</v>
      </c>
      <c r="R137" s="1" t="s">
        <v>154</v>
      </c>
      <c r="S137" s="1">
        <f>IFERROR(AVERAGE(Wholesale[[#This Row],[‫دیسمبر‬‏]]:Wholesale[[#This Row],[‫اكتوبر‬‏]]),"")</f>
        <v>100.01333333333332</v>
      </c>
      <c r="T137" s="1">
        <f>IFERROR(AVERAGE(Wholesale[[#This Row],[‫سبتمبر‬‏]]:Wholesale[[#This Row],[‫یولیو‬‏]]),"")</f>
        <v>97.103333333333339</v>
      </c>
      <c r="U137" s="1">
        <f>IFERROR(AVERAGE(Wholesale[[#This Row],[‫یونیو‬‏]]:Wholesale[[#This Row],[‫ابریل‬‏]]),"")</f>
        <v>97.24666666666667</v>
      </c>
      <c r="V137" s="1">
        <f>IFERROR(AVERAGE(Wholesale[[#This Row],[‫مارس‬‏]]:Wholesale[[#This Row],[‫ینایر‬‏]]),"")</f>
        <v>96.2</v>
      </c>
    </row>
    <row r="138" spans="1:22" x14ac:dyDescent="0.35">
      <c r="A138" s="1">
        <v>26.5</v>
      </c>
      <c r="B138" s="1">
        <v>63.2</v>
      </c>
      <c r="C138" s="1">
        <v>79.94</v>
      </c>
      <c r="D138" s="1">
        <v>80.75</v>
      </c>
      <c r="E138" s="1">
        <v>81</v>
      </c>
      <c r="F138" s="1">
        <v>80.5</v>
      </c>
      <c r="G138" s="1">
        <v>80.5</v>
      </c>
      <c r="H138" s="1">
        <v>81.08</v>
      </c>
      <c r="I138" s="1">
        <v>80.709999999999994</v>
      </c>
      <c r="J138" s="1">
        <v>78.95</v>
      </c>
      <c r="K138" s="1">
        <v>79.63</v>
      </c>
      <c r="L138" s="1">
        <v>79.42</v>
      </c>
      <c r="M138" s="1">
        <v>80.12</v>
      </c>
      <c r="N138" s="1">
        <v>79.150000000000006</v>
      </c>
      <c r="O138" s="1">
        <v>77.42</v>
      </c>
      <c r="P138" t="s">
        <v>215</v>
      </c>
      <c r="Q138" t="s">
        <v>217</v>
      </c>
      <c r="R138" s="1" t="s">
        <v>154</v>
      </c>
      <c r="S138" s="1">
        <f>IFERROR(AVERAGE(Wholesale[[#This Row],[‫دیسمبر‬‏]]:Wholesale[[#This Row],[‫اكتوبر‬‏]]),"")</f>
        <v>80.75</v>
      </c>
      <c r="T138" s="1">
        <f>IFERROR(AVERAGE(Wholesale[[#This Row],[‫سبتمبر‬‏]]:Wholesale[[#This Row],[‫یولیو‬‏]]),"")</f>
        <v>80.763333333333321</v>
      </c>
      <c r="U138" s="1">
        <f>IFERROR(AVERAGE(Wholesale[[#This Row],[‫یونیو‬‏]]:Wholesale[[#This Row],[‫ابریل‬‏]]),"")</f>
        <v>79.333333333333329</v>
      </c>
      <c r="V138" s="1">
        <f>IFERROR(AVERAGE(Wholesale[[#This Row],[‫مارس‬‏]]:Wholesale[[#This Row],[‫ینایر‬‏]]),"")</f>
        <v>78.896666666666661</v>
      </c>
    </row>
    <row r="139" spans="1:22" x14ac:dyDescent="0.35">
      <c r="A139" s="1">
        <v>-2.1</v>
      </c>
      <c r="B139" s="1">
        <v>305.08</v>
      </c>
      <c r="C139" s="1">
        <v>298.73</v>
      </c>
      <c r="D139" s="1">
        <v>296.54000000000002</v>
      </c>
      <c r="E139" s="1">
        <v>299.86</v>
      </c>
      <c r="F139" s="1">
        <v>297.92</v>
      </c>
      <c r="G139" s="1">
        <v>301.11</v>
      </c>
      <c r="H139" s="1">
        <v>296.11</v>
      </c>
      <c r="I139" s="1">
        <v>300.83</v>
      </c>
      <c r="J139" s="1">
        <v>293.61</v>
      </c>
      <c r="K139" s="1">
        <v>299.62</v>
      </c>
      <c r="L139" s="1">
        <v>300</v>
      </c>
      <c r="M139" s="1">
        <v>293.08</v>
      </c>
      <c r="N139" s="1">
        <v>300.13</v>
      </c>
      <c r="O139" s="1">
        <v>305.89999999999998</v>
      </c>
      <c r="P139" t="s">
        <v>25</v>
      </c>
      <c r="Q139" t="s">
        <v>131</v>
      </c>
      <c r="R139" s="1" t="s">
        <v>154</v>
      </c>
      <c r="S139" s="1">
        <f>IFERROR(AVERAGE(Wholesale[[#This Row],[‫دیسمبر‬‏]]:Wholesale[[#This Row],[‫اكتوبر‬‏]]),"")</f>
        <v>298.10666666666674</v>
      </c>
      <c r="T139" s="1">
        <f>IFERROR(AVERAGE(Wholesale[[#This Row],[‫سبتمبر‬‏]]:Wholesale[[#This Row],[‫یولیو‬‏]]),"")</f>
        <v>299.34999999999997</v>
      </c>
      <c r="U139" s="1">
        <f>IFERROR(AVERAGE(Wholesale[[#This Row],[‫یونیو‬‏]]:Wholesale[[#This Row],[‫ابریل‬‏]]),"")</f>
        <v>297.74333333333334</v>
      </c>
      <c r="V139" s="1">
        <f>IFERROR(AVERAGE(Wholesale[[#This Row],[‫مارس‬‏]]:Wholesale[[#This Row],[‫ینایر‬‏]]),"")</f>
        <v>299.70333333333332</v>
      </c>
    </row>
    <row r="140" spans="1:22" x14ac:dyDescent="0.35">
      <c r="A140" s="1">
        <v>-4.7</v>
      </c>
      <c r="B140" s="1">
        <v>90.88</v>
      </c>
      <c r="C140" s="1">
        <v>86.65</v>
      </c>
      <c r="D140" s="1">
        <v>81.650000000000006</v>
      </c>
      <c r="E140" s="1">
        <v>83.42</v>
      </c>
      <c r="F140" s="1">
        <v>83.42</v>
      </c>
      <c r="G140" s="1">
        <v>83.42</v>
      </c>
      <c r="H140" s="1">
        <v>87.24</v>
      </c>
      <c r="I140" s="1">
        <v>82.63</v>
      </c>
      <c r="J140" s="1">
        <v>100.24</v>
      </c>
      <c r="K140" s="1">
        <v>85.68</v>
      </c>
      <c r="L140" s="1">
        <v>86</v>
      </c>
      <c r="M140" s="1">
        <v>91.38</v>
      </c>
      <c r="N140" s="1">
        <v>82.67</v>
      </c>
      <c r="O140" s="1">
        <v>92</v>
      </c>
      <c r="P140" t="s">
        <v>25</v>
      </c>
      <c r="Q140" t="s">
        <v>132</v>
      </c>
      <c r="R140" s="1" t="s">
        <v>154</v>
      </c>
      <c r="S140" s="1">
        <f>IFERROR(AVERAGE(Wholesale[[#This Row],[‫دیسمبر‬‏]]:Wholesale[[#This Row],[‫اكتوبر‬‏]]),"")</f>
        <v>82.83</v>
      </c>
      <c r="T140" s="1">
        <f>IFERROR(AVERAGE(Wholesale[[#This Row],[‫سبتمبر‬‏]]:Wholesale[[#This Row],[‫یولیو‬‏]]),"")</f>
        <v>84.429999999999993</v>
      </c>
      <c r="U140" s="1">
        <f>IFERROR(AVERAGE(Wholesale[[#This Row],[‫یونیو‬‏]]:Wholesale[[#This Row],[‫ابریل‬‏]]),"")</f>
        <v>90.64</v>
      </c>
      <c r="V140" s="1">
        <f>IFERROR(AVERAGE(Wholesale[[#This Row],[‫مارس‬‏]]:Wholesale[[#This Row],[‫ینایر‬‏]]),"")</f>
        <v>88.683333333333337</v>
      </c>
    </row>
    <row r="141" spans="1:22" x14ac:dyDescent="0.35">
      <c r="A141" s="1">
        <v>6.4</v>
      </c>
      <c r="B141" s="1">
        <v>132</v>
      </c>
      <c r="C141" s="1">
        <v>140.49</v>
      </c>
      <c r="D141" s="1">
        <v>133.18</v>
      </c>
      <c r="E141" s="1">
        <v>142.08000000000001</v>
      </c>
      <c r="F141" s="1">
        <v>141.81</v>
      </c>
      <c r="G141" s="1">
        <v>144.16999999999999</v>
      </c>
      <c r="H141" s="1">
        <v>131.5</v>
      </c>
      <c r="I141" s="1">
        <v>144.31</v>
      </c>
      <c r="J141" s="1">
        <v>138.36000000000001</v>
      </c>
      <c r="K141" s="1">
        <v>137.41999999999999</v>
      </c>
      <c r="L141" s="1">
        <v>138.79</v>
      </c>
      <c r="M141" s="1">
        <v>132.77000000000001</v>
      </c>
      <c r="N141" s="1">
        <v>136.88</v>
      </c>
      <c r="O141" s="1">
        <v>164.61</v>
      </c>
      <c r="P141" t="s">
        <v>25</v>
      </c>
      <c r="Q141" t="s">
        <v>218</v>
      </c>
      <c r="R141" s="1" t="s">
        <v>154</v>
      </c>
      <c r="S141" s="1">
        <f>IFERROR(AVERAGE(Wholesale[[#This Row],[‫دیسمبر‬‏]]:Wholesale[[#This Row],[‫اكتوبر‬‏]]),"")</f>
        <v>139.02333333333334</v>
      </c>
      <c r="T141" s="1">
        <f>IFERROR(AVERAGE(Wholesale[[#This Row],[‫سبتمبر‬‏]]:Wholesale[[#This Row],[‫یولیو‬‏]]),"")</f>
        <v>139.99333333333331</v>
      </c>
      <c r="U141" s="1">
        <f>IFERROR(AVERAGE(Wholesale[[#This Row],[‫یونیو‬‏]]:Wholesale[[#This Row],[‫ابریل‬‏]]),"")</f>
        <v>138.18999999999997</v>
      </c>
      <c r="V141" s="1">
        <f>IFERROR(AVERAGE(Wholesale[[#This Row],[‫مارس‬‏]]:Wholesale[[#This Row],[‫ینایر‬‏]]),"")</f>
        <v>144.75333333333333</v>
      </c>
    </row>
    <row r="142" spans="1:22" x14ac:dyDescent="0.35">
      <c r="A142" s="1">
        <v>-8.6</v>
      </c>
      <c r="B142" s="1">
        <v>177.69</v>
      </c>
      <c r="C142" s="1">
        <v>162.43</v>
      </c>
      <c r="D142" s="1">
        <v>170.83</v>
      </c>
      <c r="E142" s="1">
        <v>160.71</v>
      </c>
      <c r="F142" s="1">
        <v>160.96</v>
      </c>
      <c r="G142" s="1">
        <v>158.78</v>
      </c>
      <c r="H142" s="1">
        <v>170.71</v>
      </c>
      <c r="I142" s="1">
        <v>158.53</v>
      </c>
      <c r="J142" s="1">
        <v>153.12</v>
      </c>
      <c r="K142" s="1">
        <v>163.12</v>
      </c>
      <c r="L142" s="1">
        <v>163.69</v>
      </c>
      <c r="M142" s="1">
        <v>155.62</v>
      </c>
      <c r="N142" s="1">
        <v>163.18</v>
      </c>
      <c r="O142" s="1">
        <v>169.87</v>
      </c>
      <c r="P142" t="s">
        <v>25</v>
      </c>
      <c r="Q142" t="s">
        <v>219</v>
      </c>
      <c r="R142" s="1" t="s">
        <v>154</v>
      </c>
      <c r="S142" s="1">
        <f>IFERROR(AVERAGE(Wholesale[[#This Row],[‫دیسمبر‬‏]]:Wholesale[[#This Row],[‫اكتوبر‬‏]]),"")</f>
        <v>164.16666666666666</v>
      </c>
      <c r="T142" s="1">
        <f>IFERROR(AVERAGE(Wholesale[[#This Row],[‫سبتمبر‬‏]]:Wholesale[[#This Row],[‫یولیو‬‏]]),"")</f>
        <v>162.67333333333332</v>
      </c>
      <c r="U142" s="1">
        <f>IFERROR(AVERAGE(Wholesale[[#This Row],[‫یونیو‬‏]]:Wholesale[[#This Row],[‫ابریل‬‏]]),"")</f>
        <v>159.97666666666666</v>
      </c>
      <c r="V142" s="1">
        <f>IFERROR(AVERAGE(Wholesale[[#This Row],[‫مارس‬‏]]:Wholesale[[#This Row],[‫ینایر‬‏]]),"")</f>
        <v>162.89000000000001</v>
      </c>
    </row>
    <row r="143" spans="1:22" x14ac:dyDescent="0.35">
      <c r="A143" s="1">
        <v>24.7</v>
      </c>
      <c r="B143" s="1">
        <v>302.86</v>
      </c>
      <c r="C143" s="1">
        <v>377.58</v>
      </c>
      <c r="D143" s="1">
        <v>388.85</v>
      </c>
      <c r="E143" s="1">
        <v>393.75</v>
      </c>
      <c r="F143" s="1">
        <v>392.36</v>
      </c>
      <c r="G143" s="1">
        <v>391.25</v>
      </c>
      <c r="H143" s="1">
        <v>355.15</v>
      </c>
      <c r="I143" s="1">
        <v>389.31</v>
      </c>
      <c r="J143" s="1">
        <v>377.22</v>
      </c>
      <c r="K143" s="1">
        <v>377.44</v>
      </c>
      <c r="L143" s="1">
        <v>370</v>
      </c>
      <c r="M143" s="1">
        <v>355.64</v>
      </c>
      <c r="N143" s="1">
        <v>361.49</v>
      </c>
      <c r="O143" s="1">
        <v>378.54</v>
      </c>
      <c r="P143" t="s">
        <v>25</v>
      </c>
      <c r="Q143" t="s">
        <v>133</v>
      </c>
      <c r="R143" s="1" t="s">
        <v>154</v>
      </c>
      <c r="S143" s="1">
        <f>IFERROR(AVERAGE(Wholesale[[#This Row],[‫دیسمبر‬‏]]:Wholesale[[#This Row],[‫اكتوبر‬‏]]),"")</f>
        <v>391.65333333333336</v>
      </c>
      <c r="T143" s="1">
        <f>IFERROR(AVERAGE(Wholesale[[#This Row],[‫سبتمبر‬‏]]:Wholesale[[#This Row],[‫یولیو‬‏]]),"")</f>
        <v>378.57</v>
      </c>
      <c r="U143" s="1">
        <f>IFERROR(AVERAGE(Wholesale[[#This Row],[‫یونیو‬‏]]:Wholesale[[#This Row],[‫ابریل‬‏]]),"")</f>
        <v>374.88666666666671</v>
      </c>
      <c r="V143" s="1">
        <f>IFERROR(AVERAGE(Wholesale[[#This Row],[‫مارس‬‏]]:Wholesale[[#This Row],[‫ینایر‬‏]]),"")</f>
        <v>365.22333333333336</v>
      </c>
    </row>
    <row r="144" spans="1:22" x14ac:dyDescent="0.35">
      <c r="A144" s="1">
        <v>10.1</v>
      </c>
      <c r="B144" s="1">
        <v>105.8</v>
      </c>
      <c r="C144" s="1">
        <v>116.51</v>
      </c>
      <c r="D144" s="1">
        <v>111.44</v>
      </c>
      <c r="E144" s="1">
        <v>115.18</v>
      </c>
      <c r="F144" s="1">
        <v>113.91</v>
      </c>
      <c r="G144" s="1">
        <v>113.91</v>
      </c>
      <c r="H144" s="1">
        <v>111.74</v>
      </c>
      <c r="I144" s="1">
        <v>114.17</v>
      </c>
      <c r="J144" s="1">
        <v>133.51</v>
      </c>
      <c r="K144" s="1">
        <v>111.86</v>
      </c>
      <c r="L144" s="1">
        <v>113.25</v>
      </c>
      <c r="M144" s="1">
        <v>119.36</v>
      </c>
      <c r="N144" s="1">
        <v>110.67</v>
      </c>
      <c r="O144" s="1">
        <v>129.13999999999999</v>
      </c>
      <c r="P144" t="s">
        <v>25</v>
      </c>
      <c r="Q144" t="s">
        <v>134</v>
      </c>
      <c r="R144" s="1" t="s">
        <v>154</v>
      </c>
      <c r="S144" s="1">
        <f>IFERROR(AVERAGE(Wholesale[[#This Row],[‫دیسمبر‬‏]]:Wholesale[[#This Row],[‫اكتوبر‬‏]]),"")</f>
        <v>113.50999999999999</v>
      </c>
      <c r="T144" s="1">
        <f>IFERROR(AVERAGE(Wholesale[[#This Row],[‫سبتمبر‬‏]]:Wholesale[[#This Row],[‫یولیو‬‏]]),"")</f>
        <v>113.27333333333333</v>
      </c>
      <c r="U144" s="1">
        <f>IFERROR(AVERAGE(Wholesale[[#This Row],[‫یونیو‬‏]]:Wholesale[[#This Row],[‫ابریل‬‏]]),"")</f>
        <v>119.54</v>
      </c>
      <c r="V144" s="1">
        <f>IFERROR(AVERAGE(Wholesale[[#This Row],[‫مارس‬‏]]:Wholesale[[#This Row],[‫ینایر‬‏]]),"")</f>
        <v>119.72333333333331</v>
      </c>
    </row>
    <row r="145" spans="1:22" x14ac:dyDescent="0.35">
      <c r="A145" s="1">
        <v>1.4</v>
      </c>
      <c r="B145" s="1">
        <v>194.44</v>
      </c>
      <c r="C145" s="1">
        <v>197.22</v>
      </c>
      <c r="D145" s="1">
        <v>192.73</v>
      </c>
      <c r="E145" s="1">
        <v>206.11</v>
      </c>
      <c r="F145" s="1">
        <v>206.81</v>
      </c>
      <c r="G145" s="1">
        <v>200.42</v>
      </c>
      <c r="H145" s="1">
        <v>193.33</v>
      </c>
      <c r="I145" s="1">
        <v>191.81</v>
      </c>
      <c r="J145" s="1">
        <v>183.58</v>
      </c>
      <c r="K145" s="1">
        <v>187.55</v>
      </c>
      <c r="L145" s="1">
        <v>188.45</v>
      </c>
      <c r="M145" s="1">
        <v>193.09</v>
      </c>
      <c r="N145" s="1">
        <v>199.06</v>
      </c>
      <c r="O145" s="1">
        <v>223.76</v>
      </c>
      <c r="P145" t="s">
        <v>25</v>
      </c>
      <c r="Q145" t="s">
        <v>220</v>
      </c>
      <c r="R145" s="1" t="s">
        <v>154</v>
      </c>
      <c r="S145" s="1">
        <f>IFERROR(AVERAGE(Wholesale[[#This Row],[‫دیسمبر‬‏]]:Wholesale[[#This Row],[‫اكتوبر‬‏]]),"")</f>
        <v>201.88333333333335</v>
      </c>
      <c r="T145" s="1">
        <f>IFERROR(AVERAGE(Wholesale[[#This Row],[‫سبتمبر‬‏]]:Wholesale[[#This Row],[‫یولیو‬‏]]),"")</f>
        <v>195.18666666666664</v>
      </c>
      <c r="U145" s="1">
        <f>IFERROR(AVERAGE(Wholesale[[#This Row],[‫یونیو‬‏]]:Wholesale[[#This Row],[‫ابریل‬‏]]),"")</f>
        <v>186.52666666666664</v>
      </c>
      <c r="V145" s="1">
        <f>IFERROR(AVERAGE(Wholesale[[#This Row],[‫مارس‬‏]]:Wholesale[[#This Row],[‫ینایر‬‏]]),"")</f>
        <v>205.30333333333331</v>
      </c>
    </row>
    <row r="146" spans="1:22" x14ac:dyDescent="0.35">
      <c r="A146" s="1">
        <v>15.9</v>
      </c>
      <c r="B146" s="1">
        <v>93.25</v>
      </c>
      <c r="C146" s="1">
        <v>108.08</v>
      </c>
      <c r="D146" s="1">
        <v>106.58</v>
      </c>
      <c r="E146" s="1">
        <v>109.3</v>
      </c>
      <c r="F146" s="1">
        <v>109.3</v>
      </c>
      <c r="G146" s="1">
        <v>139.63999999999999</v>
      </c>
      <c r="H146" s="1">
        <v>132.18</v>
      </c>
      <c r="I146" s="1">
        <v>99.3</v>
      </c>
      <c r="J146" s="1">
        <v>107.79</v>
      </c>
      <c r="K146" s="1">
        <v>98.7</v>
      </c>
      <c r="L146" s="1">
        <v>96.27</v>
      </c>
      <c r="M146" s="1">
        <v>99.38</v>
      </c>
      <c r="N146" s="1">
        <v>97.35</v>
      </c>
      <c r="O146" s="1">
        <v>101.12</v>
      </c>
      <c r="P146" t="s">
        <v>25</v>
      </c>
      <c r="Q146" t="s">
        <v>221</v>
      </c>
      <c r="R146" s="1" t="s">
        <v>154</v>
      </c>
      <c r="S146" s="1">
        <f>IFERROR(AVERAGE(Wholesale[[#This Row],[‫دیسمبر‬‏]]:Wholesale[[#This Row],[‫اكتوبر‬‏]]),"")</f>
        <v>108.39333333333333</v>
      </c>
      <c r="T146" s="1">
        <f>IFERROR(AVERAGE(Wholesale[[#This Row],[‫سبتمبر‬‏]]:Wholesale[[#This Row],[‫یولیو‬‏]]),"")</f>
        <v>123.70666666666666</v>
      </c>
      <c r="U146" s="1">
        <f>IFERROR(AVERAGE(Wholesale[[#This Row],[‫یونیو‬‏]]:Wholesale[[#This Row],[‫ابریل‬‏]]),"")</f>
        <v>100.92</v>
      </c>
      <c r="V146" s="1">
        <f>IFERROR(AVERAGE(Wholesale[[#This Row],[‫مارس‬‏]]:Wholesale[[#This Row],[‫ینایر‬‏]]),"")</f>
        <v>99.283333333333346</v>
      </c>
    </row>
    <row r="147" spans="1:22" x14ac:dyDescent="0.35">
      <c r="A147" s="1">
        <v>53.6</v>
      </c>
      <c r="B147" s="1">
        <v>88.75</v>
      </c>
      <c r="C147" s="1">
        <v>136.36000000000001</v>
      </c>
      <c r="D147" s="1">
        <v>138.56</v>
      </c>
      <c r="E147" s="1">
        <v>137.06</v>
      </c>
      <c r="F147" s="1">
        <v>136.87</v>
      </c>
      <c r="G147" s="1">
        <v>136.54</v>
      </c>
      <c r="H147" s="1">
        <v>136.44</v>
      </c>
      <c r="I147" s="1">
        <v>136.32</v>
      </c>
      <c r="J147" s="1">
        <v>136.01</v>
      </c>
      <c r="K147" s="1">
        <v>135.99</v>
      </c>
      <c r="L147" s="1">
        <v>135.91</v>
      </c>
      <c r="M147" s="1">
        <v>135.79</v>
      </c>
      <c r="N147" s="1">
        <v>135.69</v>
      </c>
      <c r="O147" s="1">
        <v>135.11000000000001</v>
      </c>
      <c r="P147" t="s">
        <v>136</v>
      </c>
      <c r="Q147" t="s">
        <v>222</v>
      </c>
      <c r="R147" s="1" t="s">
        <v>154</v>
      </c>
      <c r="S147" s="1">
        <f>IFERROR(AVERAGE(Wholesale[[#This Row],[‫دیسمبر‬‏]]:Wholesale[[#This Row],[‫اكتوبر‬‏]]),"")</f>
        <v>137.49666666666667</v>
      </c>
      <c r="T147" s="1">
        <f>IFERROR(AVERAGE(Wholesale[[#This Row],[‫سبتمبر‬‏]]:Wholesale[[#This Row],[‫یولیو‬‏]]),"")</f>
        <v>136.43333333333334</v>
      </c>
      <c r="U147" s="1">
        <f>IFERROR(AVERAGE(Wholesale[[#This Row],[‫یونیو‬‏]]:Wholesale[[#This Row],[‫ابریل‬‏]]),"")</f>
        <v>135.97</v>
      </c>
      <c r="V147" s="1">
        <f>IFERROR(AVERAGE(Wholesale[[#This Row],[‫مارس‬‏]]:Wholesale[[#This Row],[‫ینایر‬‏]]),"")</f>
        <v>135.53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4E40-0C0D-4EAA-A4E8-113F39CD5917}">
  <dimension ref="A1:V251"/>
  <sheetViews>
    <sheetView workbookViewId="0">
      <selection sqref="A1:XFD1048576"/>
    </sheetView>
  </sheetViews>
  <sheetFormatPr defaultRowHeight="14.5" x14ac:dyDescent="0.35"/>
  <cols>
    <col min="1" max="1" width="19.6328125" bestFit="1" customWidth="1"/>
    <col min="2" max="2" width="10.1796875" bestFit="1" customWidth="1"/>
    <col min="3" max="3" width="9.7265625" bestFit="1" customWidth="1"/>
    <col min="4" max="4" width="6" bestFit="1" customWidth="1"/>
    <col min="5" max="7" width="5.81640625" bestFit="1" customWidth="1"/>
    <col min="8" max="8" width="6.90625" bestFit="1" customWidth="1"/>
    <col min="9" max="15" width="5.81640625" bestFit="1" customWidth="1"/>
    <col min="16" max="16" width="8.08984375" bestFit="1" customWidth="1"/>
    <col min="17" max="17" width="28.54296875" bestFit="1" customWidth="1"/>
    <col min="18" max="18" width="10.54296875" bestFit="1" customWidth="1"/>
  </cols>
  <sheetData>
    <row r="1" spans="1:22" x14ac:dyDescent="0.35">
      <c r="A1" t="s">
        <v>223</v>
      </c>
      <c r="B1" t="s">
        <v>224</v>
      </c>
      <c r="C1" t="s">
        <v>225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226</v>
      </c>
      <c r="Q1" t="s">
        <v>153</v>
      </c>
      <c r="R1" t="s">
        <v>9</v>
      </c>
      <c r="S1" t="s">
        <v>5</v>
      </c>
      <c r="T1" t="s">
        <v>6</v>
      </c>
      <c r="U1" t="s">
        <v>792</v>
      </c>
      <c r="V1" t="s">
        <v>8</v>
      </c>
    </row>
    <row r="2" spans="1:22" x14ac:dyDescent="0.35">
      <c r="A2" s="1">
        <v>4</v>
      </c>
      <c r="B2" s="1">
        <v>2695</v>
      </c>
      <c r="C2" s="1">
        <v>2705</v>
      </c>
      <c r="D2" s="1">
        <v>2764</v>
      </c>
      <c r="E2" s="1">
        <v>2768</v>
      </c>
      <c r="F2" s="1">
        <v>2750</v>
      </c>
      <c r="G2" s="1">
        <v>2738</v>
      </c>
      <c r="H2" s="1">
        <v>2721</v>
      </c>
      <c r="I2" s="1">
        <v>2712</v>
      </c>
      <c r="J2" s="1">
        <v>2704</v>
      </c>
      <c r="K2" s="1">
        <v>2672</v>
      </c>
      <c r="L2" s="1">
        <v>2681</v>
      </c>
      <c r="M2" s="1">
        <v>2665</v>
      </c>
      <c r="N2" s="1">
        <v>2662</v>
      </c>
      <c r="O2" s="1">
        <v>2625</v>
      </c>
      <c r="P2" t="s">
        <v>25</v>
      </c>
      <c r="Q2" t="s">
        <v>227</v>
      </c>
      <c r="R2" s="1" t="s">
        <v>228</v>
      </c>
      <c r="S2" s="1">
        <f>IFERROR(AVERAGE(Urban[[#This Row],[‫دیسمبر‬‏]]:Urban[[#This Row],[‫اكتوبر‬‏]]),"")</f>
        <v>2760.6666666666665</v>
      </c>
      <c r="T2" s="1">
        <f>IFERROR(AVERAGE(Urban[[#This Row],[‫سبتمبر‬‏]]:Urban[[#This Row],[‫یولیو‬‏]]),"")</f>
        <v>2723.6666666666665</v>
      </c>
      <c r="U2" s="1">
        <f>IFERROR(AVERAGE(Urban[[#This Row],[‫یونیو‬‏]]:Urban[[#This Row],[‫ابریل‬‏]]),"")</f>
        <v>2685.6666666666665</v>
      </c>
      <c r="V2" s="1">
        <f>IFERROR(AVERAGE(Urban[[#This Row],[‫مارس‬‏]]:Urban[[#This Row],[‫ینایر‬‏]]),"")</f>
        <v>2650.6666666666665</v>
      </c>
    </row>
    <row r="3" spans="1:22" x14ac:dyDescent="0.35">
      <c r="A3" s="1">
        <v>41</v>
      </c>
      <c r="B3" s="1">
        <v>2141</v>
      </c>
      <c r="C3" s="1">
        <v>2229</v>
      </c>
      <c r="D3" s="1">
        <v>2284</v>
      </c>
      <c r="E3" s="1">
        <v>2292</v>
      </c>
      <c r="F3" s="1">
        <v>2268</v>
      </c>
      <c r="G3" s="1">
        <v>2235</v>
      </c>
      <c r="H3" s="1">
        <v>2233</v>
      </c>
      <c r="I3" s="1">
        <v>2235</v>
      </c>
      <c r="J3" s="1">
        <v>2226</v>
      </c>
      <c r="K3" s="1">
        <v>2217</v>
      </c>
      <c r="L3" s="1">
        <v>2206</v>
      </c>
      <c r="M3" s="1">
        <v>2205</v>
      </c>
      <c r="N3" s="1">
        <v>2193</v>
      </c>
      <c r="O3" s="1">
        <v>2154</v>
      </c>
      <c r="P3" t="s">
        <v>25</v>
      </c>
      <c r="Q3" t="s">
        <v>229</v>
      </c>
      <c r="R3" s="1" t="s">
        <v>228</v>
      </c>
      <c r="S3" s="1">
        <f>IFERROR(AVERAGE(Urban[[#This Row],[‫دیسمبر‬‏]]:Urban[[#This Row],[‫اكتوبر‬‏]]),"")</f>
        <v>2281.3333333333335</v>
      </c>
      <c r="T3" s="1">
        <f>IFERROR(AVERAGE(Urban[[#This Row],[‫سبتمبر‬‏]]:Urban[[#This Row],[‫یولیو‬‏]]),"")</f>
        <v>2234.3333333333335</v>
      </c>
      <c r="U3" s="1">
        <f>IFERROR(AVERAGE(Urban[[#This Row],[‫یونیو‬‏]]:Urban[[#This Row],[‫ابریل‬‏]]),"")</f>
        <v>2216.3333333333335</v>
      </c>
      <c r="V3" s="1">
        <f>IFERROR(AVERAGE(Urban[[#This Row],[‫مارس‬‏]]:Urban[[#This Row],[‫ینایر‬‏]]),"")</f>
        <v>2184</v>
      </c>
    </row>
    <row r="4" spans="1:22" x14ac:dyDescent="0.35">
      <c r="A4" s="1">
        <v>-46</v>
      </c>
      <c r="B4" s="1">
        <v>5500</v>
      </c>
      <c r="C4" s="1">
        <v>5249</v>
      </c>
      <c r="D4" s="1">
        <v>5174</v>
      </c>
      <c r="E4" s="1">
        <v>5191</v>
      </c>
      <c r="F4" s="1">
        <v>5270</v>
      </c>
      <c r="G4" s="1">
        <v>5219</v>
      </c>
      <c r="H4" s="1">
        <v>5182</v>
      </c>
      <c r="I4" s="1">
        <v>5251</v>
      </c>
      <c r="J4" s="1">
        <v>5245</v>
      </c>
      <c r="K4" s="1">
        <v>5243</v>
      </c>
      <c r="L4" s="1">
        <v>5195</v>
      </c>
      <c r="M4" s="1">
        <v>5358</v>
      </c>
      <c r="N4" s="1">
        <v>5342</v>
      </c>
      <c r="O4" s="1">
        <v>5322</v>
      </c>
      <c r="P4" t="s">
        <v>25</v>
      </c>
      <c r="Q4" t="s">
        <v>230</v>
      </c>
      <c r="R4" s="1" t="s">
        <v>228</v>
      </c>
      <c r="S4" s="1">
        <f>IFERROR(AVERAGE(Urban[[#This Row],[‫دیسمبر‬‏]]:Urban[[#This Row],[‫اكتوبر‬‏]]),"")</f>
        <v>5211.666666666667</v>
      </c>
      <c r="T4" s="1">
        <f>IFERROR(AVERAGE(Urban[[#This Row],[‫سبتمبر‬‏]]:Urban[[#This Row],[‫یولیو‬‏]]),"")</f>
        <v>5217.333333333333</v>
      </c>
      <c r="U4" s="1">
        <f>IFERROR(AVERAGE(Urban[[#This Row],[‫یونیو‬‏]]:Urban[[#This Row],[‫ابریل‬‏]]),"")</f>
        <v>5227.666666666667</v>
      </c>
      <c r="V4" s="1">
        <f>IFERROR(AVERAGE(Urban[[#This Row],[‫مارس‬‏]]:Urban[[#This Row],[‫ینایر‬‏]]),"")</f>
        <v>5340.666666666667</v>
      </c>
    </row>
    <row r="5" spans="1:22" x14ac:dyDescent="0.35">
      <c r="A5" s="1">
        <v>122</v>
      </c>
      <c r="B5" s="1">
        <v>4829</v>
      </c>
      <c r="C5" s="1">
        <v>5417</v>
      </c>
      <c r="D5" s="1">
        <v>5645</v>
      </c>
      <c r="E5" s="1">
        <v>5632</v>
      </c>
      <c r="F5" s="1">
        <v>5612</v>
      </c>
      <c r="G5" s="1">
        <v>5601</v>
      </c>
      <c r="H5" s="1">
        <v>5572</v>
      </c>
      <c r="I5" s="1">
        <v>5465</v>
      </c>
      <c r="J5" s="1">
        <v>5389</v>
      </c>
      <c r="K5" s="1">
        <v>5359</v>
      </c>
      <c r="L5" s="1">
        <v>5313</v>
      </c>
      <c r="M5" s="1">
        <v>5285</v>
      </c>
      <c r="N5" s="1">
        <v>5141</v>
      </c>
      <c r="O5" s="1">
        <v>4997</v>
      </c>
      <c r="P5" t="s">
        <v>25</v>
      </c>
      <c r="Q5" t="s">
        <v>231</v>
      </c>
      <c r="R5" s="1" t="s">
        <v>228</v>
      </c>
      <c r="S5" s="1">
        <f>IFERROR(AVERAGE(Urban[[#This Row],[‫دیسمبر‬‏]]:Urban[[#This Row],[‫اكتوبر‬‏]]),"")</f>
        <v>5629.666666666667</v>
      </c>
      <c r="T5" s="1">
        <f>IFERROR(AVERAGE(Urban[[#This Row],[‫سبتمبر‬‏]]:Urban[[#This Row],[‫یولیو‬‏]]),"")</f>
        <v>5546</v>
      </c>
      <c r="U5" s="1">
        <f>IFERROR(AVERAGE(Urban[[#This Row],[‫یونیو‬‏]]:Urban[[#This Row],[‫ابریل‬‏]]),"")</f>
        <v>5353.666666666667</v>
      </c>
      <c r="V5" s="1">
        <f>IFERROR(AVERAGE(Urban[[#This Row],[‫مارس‬‏]]:Urban[[#This Row],[‫ینایر‬‏]]),"")</f>
        <v>5141</v>
      </c>
    </row>
    <row r="6" spans="1:22" x14ac:dyDescent="0.35">
      <c r="A6" s="1">
        <v>84</v>
      </c>
      <c r="B6" s="1">
        <v>4109</v>
      </c>
      <c r="C6" s="1">
        <v>4454</v>
      </c>
      <c r="D6" s="1">
        <v>4593</v>
      </c>
      <c r="E6" s="1">
        <v>4576</v>
      </c>
      <c r="F6" s="1">
        <v>4541</v>
      </c>
      <c r="G6" s="1">
        <v>4511</v>
      </c>
      <c r="H6" s="1">
        <v>4518</v>
      </c>
      <c r="I6" s="1">
        <v>4513</v>
      </c>
      <c r="J6" s="1">
        <v>4486</v>
      </c>
      <c r="K6" s="1">
        <v>4409</v>
      </c>
      <c r="L6" s="1">
        <v>4396</v>
      </c>
      <c r="M6" s="1">
        <v>4362</v>
      </c>
      <c r="N6" s="1">
        <v>4310</v>
      </c>
      <c r="O6" s="1">
        <v>4236</v>
      </c>
      <c r="P6" t="s">
        <v>25</v>
      </c>
      <c r="Q6" t="s">
        <v>232</v>
      </c>
      <c r="R6" s="1" t="s">
        <v>228</v>
      </c>
      <c r="S6" s="1">
        <f>IFERROR(AVERAGE(Urban[[#This Row],[‫دیسمبر‬‏]]:Urban[[#This Row],[‫اكتوبر‬‏]]),"")</f>
        <v>4570</v>
      </c>
      <c r="T6" s="1">
        <f>IFERROR(AVERAGE(Urban[[#This Row],[‫سبتمبر‬‏]]:Urban[[#This Row],[‫یولیو‬‏]]),"")</f>
        <v>4514</v>
      </c>
      <c r="U6" s="1">
        <f>IFERROR(AVERAGE(Urban[[#This Row],[‫یونیو‬‏]]:Urban[[#This Row],[‫ابریل‬‏]]),"")</f>
        <v>4430.333333333333</v>
      </c>
      <c r="V6" s="1">
        <f>IFERROR(AVERAGE(Urban[[#This Row],[‫مارس‬‏]]:Urban[[#This Row],[‫ینایر‬‏]]),"")</f>
        <v>4302.666666666667</v>
      </c>
    </row>
    <row r="7" spans="1:22" x14ac:dyDescent="0.35">
      <c r="A7" s="1">
        <v>46</v>
      </c>
      <c r="B7" s="1">
        <v>4690</v>
      </c>
      <c r="C7" s="1">
        <v>4906</v>
      </c>
      <c r="D7" s="1">
        <v>4973</v>
      </c>
      <c r="E7" s="1">
        <v>4985</v>
      </c>
      <c r="F7" s="1">
        <v>4977</v>
      </c>
      <c r="G7" s="1">
        <v>4989</v>
      </c>
      <c r="H7" s="1">
        <v>4953</v>
      </c>
      <c r="I7" s="1">
        <v>4917</v>
      </c>
      <c r="J7" s="1">
        <v>4847</v>
      </c>
      <c r="K7" s="1">
        <v>4867</v>
      </c>
      <c r="L7" s="1">
        <v>4839</v>
      </c>
      <c r="M7" s="1">
        <v>4863</v>
      </c>
      <c r="N7" s="1">
        <v>4856</v>
      </c>
      <c r="O7" s="1">
        <v>4803</v>
      </c>
      <c r="P7" t="s">
        <v>25</v>
      </c>
      <c r="Q7" t="s">
        <v>233</v>
      </c>
      <c r="R7" s="1" t="s">
        <v>228</v>
      </c>
      <c r="S7" s="1">
        <f>IFERROR(AVERAGE(Urban[[#This Row],[‫دیسمبر‬‏]]:Urban[[#This Row],[‫اكتوبر‬‏]]),"")</f>
        <v>4978.333333333333</v>
      </c>
      <c r="T7" s="1">
        <f>IFERROR(AVERAGE(Urban[[#This Row],[‫سبتمبر‬‏]]:Urban[[#This Row],[‫یولیو‬‏]]),"")</f>
        <v>4953</v>
      </c>
      <c r="U7" s="1">
        <f>IFERROR(AVERAGE(Urban[[#This Row],[‫یونیو‬‏]]:Urban[[#This Row],[‫ابریل‬‏]]),"")</f>
        <v>4851</v>
      </c>
      <c r="V7" s="1">
        <f>IFERROR(AVERAGE(Urban[[#This Row],[‫مارس‬‏]]:Urban[[#This Row],[‫ینایر‬‏]]),"")</f>
        <v>4840.666666666667</v>
      </c>
    </row>
    <row r="8" spans="1:22" x14ac:dyDescent="0.35">
      <c r="A8" s="1">
        <v>10</v>
      </c>
      <c r="B8" s="1">
        <v>6150</v>
      </c>
      <c r="C8" s="1">
        <v>6211</v>
      </c>
      <c r="D8" s="1">
        <v>6210</v>
      </c>
      <c r="E8" s="1">
        <v>6201</v>
      </c>
      <c r="F8" s="1">
        <v>6229</v>
      </c>
      <c r="G8" s="1">
        <v>6198</v>
      </c>
      <c r="H8" s="1">
        <v>6220</v>
      </c>
      <c r="I8" s="1">
        <v>6249</v>
      </c>
      <c r="J8" s="1">
        <v>6239</v>
      </c>
      <c r="K8" s="1">
        <v>6195</v>
      </c>
      <c r="L8" s="1">
        <v>6246</v>
      </c>
      <c r="M8" s="1">
        <v>6182</v>
      </c>
      <c r="N8" s="1">
        <v>6196</v>
      </c>
      <c r="O8" s="1">
        <v>6171</v>
      </c>
      <c r="P8" t="s">
        <v>25</v>
      </c>
      <c r="Q8" t="s">
        <v>234</v>
      </c>
      <c r="R8" s="1" t="s">
        <v>228</v>
      </c>
      <c r="S8" s="1">
        <f>IFERROR(AVERAGE(Urban[[#This Row],[‫دیسمبر‬‏]]:Urban[[#This Row],[‫اكتوبر‬‏]]),"")</f>
        <v>6213.333333333333</v>
      </c>
      <c r="T8" s="1">
        <f>IFERROR(AVERAGE(Urban[[#This Row],[‫سبتمبر‬‏]]:Urban[[#This Row],[‫یولیو‬‏]]),"")</f>
        <v>6222.333333333333</v>
      </c>
      <c r="U8" s="1">
        <f>IFERROR(AVERAGE(Urban[[#This Row],[‫یونیو‬‏]]:Urban[[#This Row],[‫ابریل‬‏]]),"")</f>
        <v>6226.666666666667</v>
      </c>
      <c r="V8" s="1">
        <f>IFERROR(AVERAGE(Urban[[#This Row],[‫مارس‬‏]]:Urban[[#This Row],[‫ینایر‬‏]]),"")</f>
        <v>6183</v>
      </c>
    </row>
    <row r="9" spans="1:22" x14ac:dyDescent="0.35">
      <c r="A9" s="1">
        <v>-5</v>
      </c>
      <c r="B9" s="1">
        <v>5834</v>
      </c>
      <c r="C9" s="1">
        <v>5806</v>
      </c>
      <c r="D9" s="1">
        <v>5870</v>
      </c>
      <c r="E9" s="1">
        <v>5866</v>
      </c>
      <c r="F9" s="1">
        <v>5875</v>
      </c>
      <c r="G9" s="1">
        <v>5844</v>
      </c>
      <c r="H9" s="1">
        <v>5810</v>
      </c>
      <c r="I9" s="1">
        <v>5869</v>
      </c>
      <c r="J9" s="1">
        <v>5836</v>
      </c>
      <c r="K9" s="1">
        <v>5818</v>
      </c>
      <c r="L9" s="1">
        <v>5804</v>
      </c>
      <c r="M9" s="1">
        <v>5712</v>
      </c>
      <c r="N9" s="1">
        <v>5704</v>
      </c>
      <c r="O9" s="1">
        <v>5668</v>
      </c>
      <c r="P9" t="s">
        <v>25</v>
      </c>
      <c r="Q9" t="s">
        <v>235</v>
      </c>
      <c r="R9" s="1" t="s">
        <v>228</v>
      </c>
      <c r="S9" s="1">
        <f>IFERROR(AVERAGE(Urban[[#This Row],[‫دیسمبر‬‏]]:Urban[[#This Row],[‫اكتوبر‬‏]]),"")</f>
        <v>5870.333333333333</v>
      </c>
      <c r="T9" s="1">
        <f>IFERROR(AVERAGE(Urban[[#This Row],[‫سبتمبر‬‏]]:Urban[[#This Row],[‫یولیو‬‏]]),"")</f>
        <v>5841</v>
      </c>
      <c r="U9" s="1">
        <f>IFERROR(AVERAGE(Urban[[#This Row],[‫یونیو‬‏]]:Urban[[#This Row],[‫ابریل‬‏]]),"")</f>
        <v>5819.333333333333</v>
      </c>
      <c r="V9" s="1">
        <f>IFERROR(AVERAGE(Urban[[#This Row],[‫مارس‬‏]]:Urban[[#This Row],[‫ینایر‬‏]]),"")</f>
        <v>5694.666666666667</v>
      </c>
    </row>
    <row r="10" spans="1:22" x14ac:dyDescent="0.35">
      <c r="A10" s="1">
        <v>-22</v>
      </c>
      <c r="B10" s="1">
        <v>6336</v>
      </c>
      <c r="C10" s="1">
        <v>6197</v>
      </c>
      <c r="D10" s="1">
        <v>6141</v>
      </c>
      <c r="E10" s="1">
        <v>6206</v>
      </c>
      <c r="F10" s="1">
        <v>6221</v>
      </c>
      <c r="G10" s="1">
        <v>6183</v>
      </c>
      <c r="H10" s="1">
        <v>6173</v>
      </c>
      <c r="I10" s="1">
        <v>6224</v>
      </c>
      <c r="J10" s="1">
        <v>6213</v>
      </c>
      <c r="K10" s="1">
        <v>6232</v>
      </c>
      <c r="L10" s="1">
        <v>6237</v>
      </c>
      <c r="M10" s="1">
        <v>6229</v>
      </c>
      <c r="N10" s="1">
        <v>6177</v>
      </c>
      <c r="O10" s="1">
        <v>6127</v>
      </c>
      <c r="P10" t="s">
        <v>25</v>
      </c>
      <c r="Q10" t="s">
        <v>236</v>
      </c>
      <c r="R10" s="1" t="s">
        <v>228</v>
      </c>
      <c r="S10" s="1">
        <f>IFERROR(AVERAGE(Urban[[#This Row],[‫دیسمبر‬‏]]:Urban[[#This Row],[‫اكتوبر‬‏]]),"")</f>
        <v>6189.333333333333</v>
      </c>
      <c r="T10" s="1">
        <f>IFERROR(AVERAGE(Urban[[#This Row],[‫سبتمبر‬‏]]:Urban[[#This Row],[‫یولیو‬‏]]),"")</f>
        <v>6193.333333333333</v>
      </c>
      <c r="U10" s="1">
        <f>IFERROR(AVERAGE(Urban[[#This Row],[‫یونیو‬‏]]:Urban[[#This Row],[‫ابریل‬‏]]),"")</f>
        <v>6227.333333333333</v>
      </c>
      <c r="V10" s="1">
        <f>IFERROR(AVERAGE(Urban[[#This Row],[‫مارس‬‏]]:Urban[[#This Row],[‫ینایر‬‏]]),"")</f>
        <v>6177.666666666667</v>
      </c>
    </row>
    <row r="11" spans="1:22" x14ac:dyDescent="0.35">
      <c r="A11" s="1">
        <v>-7</v>
      </c>
      <c r="B11" s="1">
        <v>8522</v>
      </c>
      <c r="C11" s="1">
        <v>8465</v>
      </c>
      <c r="D11" s="1">
        <v>8223</v>
      </c>
      <c r="E11" s="1">
        <v>8189</v>
      </c>
      <c r="F11" s="1">
        <v>8365</v>
      </c>
      <c r="G11" s="1">
        <v>8466</v>
      </c>
      <c r="H11" s="1">
        <v>8468</v>
      </c>
      <c r="I11" s="1">
        <v>8468</v>
      </c>
      <c r="J11" s="1">
        <v>8556</v>
      </c>
      <c r="K11" s="1">
        <v>8546</v>
      </c>
      <c r="L11" s="1">
        <v>8536</v>
      </c>
      <c r="M11" s="1">
        <v>8578</v>
      </c>
      <c r="N11" s="1">
        <v>8577</v>
      </c>
      <c r="O11" s="1">
        <v>8612</v>
      </c>
      <c r="P11" t="s">
        <v>25</v>
      </c>
      <c r="Q11" t="s">
        <v>237</v>
      </c>
      <c r="R11" s="1" t="s">
        <v>228</v>
      </c>
      <c r="S11" s="1">
        <f>IFERROR(AVERAGE(Urban[[#This Row],[‫دیسمبر‬‏]]:Urban[[#This Row],[‫اكتوبر‬‏]]),"")</f>
        <v>8259</v>
      </c>
      <c r="T11" s="1">
        <f>IFERROR(AVERAGE(Urban[[#This Row],[‫سبتمبر‬‏]]:Urban[[#This Row],[‫یولیو‬‏]]),"")</f>
        <v>8467.3333333333339</v>
      </c>
      <c r="U11" s="1">
        <f>IFERROR(AVERAGE(Urban[[#This Row],[‫یونیو‬‏]]:Urban[[#This Row],[‫ابریل‬‏]]),"")</f>
        <v>8546</v>
      </c>
      <c r="V11" s="1">
        <f>IFERROR(AVERAGE(Urban[[#This Row],[‫مارس‬‏]]:Urban[[#This Row],[‫ینایر‬‏]]),"")</f>
        <v>8589</v>
      </c>
    </row>
    <row r="12" spans="1:22" x14ac:dyDescent="0.35">
      <c r="A12" s="1">
        <v>-13</v>
      </c>
      <c r="B12" s="1">
        <v>7247</v>
      </c>
      <c r="C12" s="1">
        <v>7156</v>
      </c>
      <c r="D12" s="1">
        <v>7047</v>
      </c>
      <c r="E12" s="1">
        <v>6989</v>
      </c>
      <c r="F12" s="1">
        <v>7079</v>
      </c>
      <c r="G12" s="1">
        <v>7156</v>
      </c>
      <c r="H12" s="1">
        <v>7147</v>
      </c>
      <c r="I12" s="1">
        <v>7123</v>
      </c>
      <c r="J12" s="1">
        <v>7169</v>
      </c>
      <c r="K12" s="1">
        <v>7161</v>
      </c>
      <c r="L12" s="1">
        <v>7118</v>
      </c>
      <c r="M12" s="1">
        <v>7273</v>
      </c>
      <c r="N12" s="1">
        <v>7293</v>
      </c>
      <c r="O12" s="1">
        <v>7317</v>
      </c>
      <c r="P12" t="s">
        <v>25</v>
      </c>
      <c r="Q12" t="s">
        <v>238</v>
      </c>
      <c r="R12" s="1" t="s">
        <v>228</v>
      </c>
      <c r="S12" s="1">
        <f>IFERROR(AVERAGE(Urban[[#This Row],[‫دیسمبر‬‏]]:Urban[[#This Row],[‫اكتوبر‬‏]]),"")</f>
        <v>7038.333333333333</v>
      </c>
      <c r="T12" s="1">
        <f>IFERROR(AVERAGE(Urban[[#This Row],[‫سبتمبر‬‏]]:Urban[[#This Row],[‫یولیو‬‏]]),"")</f>
        <v>7142</v>
      </c>
      <c r="U12" s="1">
        <f>IFERROR(AVERAGE(Urban[[#This Row],[‫یونیو‬‏]]:Urban[[#This Row],[‫ابریل‬‏]]),"")</f>
        <v>7149.333333333333</v>
      </c>
      <c r="V12" s="1">
        <f>IFERROR(AVERAGE(Urban[[#This Row],[‫مارس‬‏]]:Urban[[#This Row],[‫ینایر‬‏]]),"")</f>
        <v>7294.333333333333</v>
      </c>
    </row>
    <row r="13" spans="1:22" x14ac:dyDescent="0.35">
      <c r="A13" s="1">
        <v>-69</v>
      </c>
      <c r="B13" s="1">
        <v>8501</v>
      </c>
      <c r="C13" s="1">
        <v>7914</v>
      </c>
      <c r="D13" s="1">
        <v>7706</v>
      </c>
      <c r="E13" s="1">
        <v>7778</v>
      </c>
      <c r="F13" s="1">
        <v>7867</v>
      </c>
      <c r="G13" s="1">
        <v>7850</v>
      </c>
      <c r="H13" s="1">
        <v>7895</v>
      </c>
      <c r="I13" s="1">
        <v>7874</v>
      </c>
      <c r="J13" s="1">
        <v>7906</v>
      </c>
      <c r="K13" s="1">
        <v>7964</v>
      </c>
      <c r="L13" s="1">
        <v>8039</v>
      </c>
      <c r="M13" s="1">
        <v>8037</v>
      </c>
      <c r="N13" s="1">
        <v>7969</v>
      </c>
      <c r="O13" s="1">
        <v>8082</v>
      </c>
      <c r="P13" t="s">
        <v>25</v>
      </c>
      <c r="Q13" t="s">
        <v>239</v>
      </c>
      <c r="R13" s="1" t="s">
        <v>228</v>
      </c>
      <c r="S13" s="1">
        <f>IFERROR(AVERAGE(Urban[[#This Row],[‫دیسمبر‬‏]]:Urban[[#This Row],[‫اكتوبر‬‏]]),"")</f>
        <v>7783.666666666667</v>
      </c>
      <c r="T13" s="1">
        <f>IFERROR(AVERAGE(Urban[[#This Row],[‫سبتمبر‬‏]]:Urban[[#This Row],[‫یولیو‬‏]]),"")</f>
        <v>7873</v>
      </c>
      <c r="U13" s="1">
        <f>IFERROR(AVERAGE(Urban[[#This Row],[‫یونیو‬‏]]:Urban[[#This Row],[‫ابریل‬‏]]),"")</f>
        <v>7969.666666666667</v>
      </c>
      <c r="V13" s="1">
        <f>IFERROR(AVERAGE(Urban[[#This Row],[‫مارس‬‏]]:Urban[[#This Row],[‫ینایر‬‏]]),"")</f>
        <v>8029.333333333333</v>
      </c>
    </row>
    <row r="14" spans="1:22" x14ac:dyDescent="0.35">
      <c r="A14" s="1">
        <v>82</v>
      </c>
      <c r="B14" s="1">
        <v>5412</v>
      </c>
      <c r="C14" s="1">
        <v>5855</v>
      </c>
      <c r="D14" s="1">
        <v>5974</v>
      </c>
      <c r="E14" s="1">
        <v>6031</v>
      </c>
      <c r="F14" s="1">
        <v>6002</v>
      </c>
      <c r="G14" s="1">
        <v>5973</v>
      </c>
      <c r="H14" s="1">
        <v>5943</v>
      </c>
      <c r="I14" s="1">
        <v>5873</v>
      </c>
      <c r="J14" s="1">
        <v>5817</v>
      </c>
      <c r="K14" s="1">
        <v>5780</v>
      </c>
      <c r="L14" s="1">
        <v>5763</v>
      </c>
      <c r="M14" s="1">
        <v>5741</v>
      </c>
      <c r="N14" s="1">
        <v>5726</v>
      </c>
      <c r="O14" s="1">
        <v>5636</v>
      </c>
      <c r="P14" t="s">
        <v>25</v>
      </c>
      <c r="Q14" t="s">
        <v>240</v>
      </c>
      <c r="R14" s="1" t="s">
        <v>228</v>
      </c>
      <c r="S14" s="1">
        <f>IFERROR(AVERAGE(Urban[[#This Row],[‫دیسمبر‬‏]]:Urban[[#This Row],[‫اكتوبر‬‏]]),"")</f>
        <v>6002.333333333333</v>
      </c>
      <c r="T14" s="1">
        <f>IFERROR(AVERAGE(Urban[[#This Row],[‫سبتمبر‬‏]]:Urban[[#This Row],[‫یولیو‬‏]]),"")</f>
        <v>5929.666666666667</v>
      </c>
      <c r="U14" s="1">
        <f>IFERROR(AVERAGE(Urban[[#This Row],[‫یونیو‬‏]]:Urban[[#This Row],[‫ابریل‬‏]]),"")</f>
        <v>5786.666666666667</v>
      </c>
      <c r="V14" s="1">
        <f>IFERROR(AVERAGE(Urban[[#This Row],[‫مارس‬‏]]:Urban[[#This Row],[‫ینایر‬‏]]),"")</f>
        <v>5701</v>
      </c>
    </row>
    <row r="15" spans="1:22" x14ac:dyDescent="0.35">
      <c r="A15" s="1">
        <v>10</v>
      </c>
      <c r="B15" s="1">
        <v>8198</v>
      </c>
      <c r="C15" s="1">
        <v>8279</v>
      </c>
      <c r="D15" s="1">
        <v>8353</v>
      </c>
      <c r="E15" s="1">
        <v>8340</v>
      </c>
      <c r="F15" s="1">
        <v>8373</v>
      </c>
      <c r="G15" s="1">
        <v>8389</v>
      </c>
      <c r="H15" s="1">
        <v>8334</v>
      </c>
      <c r="I15" s="1">
        <v>8298</v>
      </c>
      <c r="J15" s="1">
        <v>8202</v>
      </c>
      <c r="K15" s="1">
        <v>8206</v>
      </c>
      <c r="L15" s="1">
        <v>8148</v>
      </c>
      <c r="M15" s="1">
        <v>8216</v>
      </c>
      <c r="N15" s="1">
        <v>8281</v>
      </c>
      <c r="O15" s="1">
        <v>8202</v>
      </c>
      <c r="P15" t="s">
        <v>25</v>
      </c>
      <c r="Q15" t="s">
        <v>241</v>
      </c>
      <c r="R15" s="1" t="s">
        <v>228</v>
      </c>
      <c r="S15" s="1">
        <f>IFERROR(AVERAGE(Urban[[#This Row],[‫دیسمبر‬‏]]:Urban[[#This Row],[‫اكتوبر‬‏]]),"")</f>
        <v>8355.3333333333339</v>
      </c>
      <c r="T15" s="1">
        <f>IFERROR(AVERAGE(Urban[[#This Row],[‫سبتمبر‬‏]]:Urban[[#This Row],[‫یولیو‬‏]]),"")</f>
        <v>8340.3333333333339</v>
      </c>
      <c r="U15" s="1">
        <f>IFERROR(AVERAGE(Urban[[#This Row],[‫یونیو‬‏]]:Urban[[#This Row],[‫ابریل‬‏]]),"")</f>
        <v>8185.333333333333</v>
      </c>
      <c r="V15" s="1">
        <f>IFERROR(AVERAGE(Urban[[#This Row],[‫مارس‬‏]]:Urban[[#This Row],[‫ینایر‬‏]]),"")</f>
        <v>8233</v>
      </c>
    </row>
    <row r="16" spans="1:22" x14ac:dyDescent="0.35">
      <c r="A16" s="1">
        <v>30</v>
      </c>
      <c r="B16" s="1">
        <v>5335</v>
      </c>
      <c r="C16" s="1">
        <v>5494</v>
      </c>
      <c r="D16" s="1">
        <v>5734</v>
      </c>
      <c r="E16" s="1">
        <v>5661</v>
      </c>
      <c r="F16" s="1">
        <v>5563</v>
      </c>
      <c r="G16" s="1">
        <v>5542</v>
      </c>
      <c r="H16" s="1">
        <v>5525</v>
      </c>
      <c r="I16" s="1">
        <v>5445</v>
      </c>
      <c r="J16" s="1">
        <v>5378</v>
      </c>
      <c r="K16" s="1">
        <v>5387</v>
      </c>
      <c r="L16" s="1">
        <v>5402</v>
      </c>
      <c r="M16" s="1">
        <v>5409</v>
      </c>
      <c r="N16" s="1">
        <v>5471</v>
      </c>
      <c r="O16" s="1">
        <v>5416</v>
      </c>
      <c r="P16" t="s">
        <v>25</v>
      </c>
      <c r="Q16" t="s">
        <v>242</v>
      </c>
      <c r="R16" s="1" t="s">
        <v>228</v>
      </c>
      <c r="S16" s="1">
        <f>IFERROR(AVERAGE(Urban[[#This Row],[‫دیسمبر‬‏]]:Urban[[#This Row],[‫اكتوبر‬‏]]),"")</f>
        <v>5652.666666666667</v>
      </c>
      <c r="T16" s="1">
        <f>IFERROR(AVERAGE(Urban[[#This Row],[‫سبتمبر‬‏]]:Urban[[#This Row],[‫یولیو‬‏]]),"")</f>
        <v>5504</v>
      </c>
      <c r="U16" s="1">
        <f>IFERROR(AVERAGE(Urban[[#This Row],[‫یونیو‬‏]]:Urban[[#This Row],[‫ابریل‬‏]]),"")</f>
        <v>5389</v>
      </c>
      <c r="V16" s="1">
        <f>IFERROR(AVERAGE(Urban[[#This Row],[‫مارس‬‏]]:Urban[[#This Row],[‫ینایر‬‏]]),"")</f>
        <v>5432</v>
      </c>
    </row>
    <row r="17" spans="1:22" x14ac:dyDescent="0.35">
      <c r="A17" s="1">
        <v>4</v>
      </c>
      <c r="B17" s="1">
        <v>4829</v>
      </c>
      <c r="C17" s="1">
        <v>4846</v>
      </c>
      <c r="D17" s="1">
        <v>4928</v>
      </c>
      <c r="E17" s="1">
        <v>4933</v>
      </c>
      <c r="F17" s="1">
        <v>4903</v>
      </c>
      <c r="G17" s="1">
        <v>4880</v>
      </c>
      <c r="H17" s="1">
        <v>4842</v>
      </c>
      <c r="I17" s="1">
        <v>4822</v>
      </c>
      <c r="J17" s="1">
        <v>4788</v>
      </c>
      <c r="K17" s="1">
        <v>4797</v>
      </c>
      <c r="L17" s="1">
        <v>4799</v>
      </c>
      <c r="M17" s="1">
        <v>4825</v>
      </c>
      <c r="N17" s="1">
        <v>4825</v>
      </c>
      <c r="O17" s="1">
        <v>4807</v>
      </c>
      <c r="P17" t="s">
        <v>25</v>
      </c>
      <c r="Q17" t="s">
        <v>243</v>
      </c>
      <c r="R17" s="1" t="s">
        <v>228</v>
      </c>
      <c r="S17" s="1">
        <f>IFERROR(AVERAGE(Urban[[#This Row],[‫دیسمبر‬‏]]:Urban[[#This Row],[‫اكتوبر‬‏]]),"")</f>
        <v>4921.333333333333</v>
      </c>
      <c r="T17" s="1">
        <f>IFERROR(AVERAGE(Urban[[#This Row],[‫سبتمبر‬‏]]:Urban[[#This Row],[‫یولیو‬‏]]),"")</f>
        <v>4848</v>
      </c>
      <c r="U17" s="1">
        <f>IFERROR(AVERAGE(Urban[[#This Row],[‫یونیو‬‏]]:Urban[[#This Row],[‫ابریل‬‏]]),"")</f>
        <v>4794.666666666667</v>
      </c>
      <c r="V17" s="1">
        <f>IFERROR(AVERAGE(Urban[[#This Row],[‫مارس‬‏]]:Urban[[#This Row],[‫ینایر‬‏]]),"")</f>
        <v>4819</v>
      </c>
    </row>
    <row r="18" spans="1:22" x14ac:dyDescent="0.35">
      <c r="A18" s="1">
        <v>-12</v>
      </c>
      <c r="B18" s="1">
        <v>2957</v>
      </c>
      <c r="C18" s="1">
        <v>2922</v>
      </c>
      <c r="D18" s="1">
        <v>2869</v>
      </c>
      <c r="E18" s="1">
        <v>2899</v>
      </c>
      <c r="F18" s="1">
        <v>2896</v>
      </c>
      <c r="G18" s="1">
        <v>2911</v>
      </c>
      <c r="H18" s="1">
        <v>2912</v>
      </c>
      <c r="I18" s="1">
        <v>2930</v>
      </c>
      <c r="J18" s="1">
        <v>2944</v>
      </c>
      <c r="K18" s="1">
        <v>2967</v>
      </c>
      <c r="L18" s="1">
        <v>2969</v>
      </c>
      <c r="M18" s="1">
        <v>2945</v>
      </c>
      <c r="N18" s="1">
        <v>2924</v>
      </c>
      <c r="O18" s="1">
        <v>2899</v>
      </c>
      <c r="P18" t="s">
        <v>25</v>
      </c>
      <c r="Q18" t="s">
        <v>244</v>
      </c>
      <c r="R18" s="1" t="s">
        <v>228</v>
      </c>
      <c r="S18" s="1">
        <f>IFERROR(AVERAGE(Urban[[#This Row],[‫دیسمبر‬‏]]:Urban[[#This Row],[‫اكتوبر‬‏]]),"")</f>
        <v>2888</v>
      </c>
      <c r="T18" s="1">
        <f>IFERROR(AVERAGE(Urban[[#This Row],[‫سبتمبر‬‏]]:Urban[[#This Row],[‫یولیو‬‏]]),"")</f>
        <v>2917.6666666666665</v>
      </c>
      <c r="U18" s="1">
        <f>IFERROR(AVERAGE(Urban[[#This Row],[‫یونیو‬‏]]:Urban[[#This Row],[‫ابریل‬‏]]),"")</f>
        <v>2960</v>
      </c>
      <c r="V18" s="1">
        <f>IFERROR(AVERAGE(Urban[[#This Row],[‫مارس‬‏]]:Urban[[#This Row],[‫ینایر‬‏]]),"")</f>
        <v>2922.6666666666665</v>
      </c>
    </row>
    <row r="19" spans="1:22" x14ac:dyDescent="0.35">
      <c r="A19" s="1">
        <v>-6</v>
      </c>
      <c r="B19" s="1">
        <v>3907</v>
      </c>
      <c r="C19" s="1">
        <v>3885</v>
      </c>
      <c r="D19" s="1">
        <v>3820</v>
      </c>
      <c r="E19" s="1">
        <v>3835</v>
      </c>
      <c r="F19" s="1">
        <v>3853</v>
      </c>
      <c r="G19" s="1">
        <v>3867</v>
      </c>
      <c r="H19" s="1">
        <v>3911</v>
      </c>
      <c r="I19" s="1">
        <v>3930</v>
      </c>
      <c r="J19" s="1">
        <v>3947</v>
      </c>
      <c r="K19" s="1">
        <v>3931</v>
      </c>
      <c r="L19" s="1">
        <v>3904</v>
      </c>
      <c r="M19" s="1">
        <v>3881</v>
      </c>
      <c r="N19" s="1">
        <v>3883</v>
      </c>
      <c r="O19" s="1">
        <v>3864</v>
      </c>
      <c r="P19" t="s">
        <v>25</v>
      </c>
      <c r="Q19" t="s">
        <v>245</v>
      </c>
      <c r="R19" s="1" t="s">
        <v>228</v>
      </c>
      <c r="S19" s="1">
        <f>IFERROR(AVERAGE(Urban[[#This Row],[‫دیسمبر‬‏]]:Urban[[#This Row],[‫اكتوبر‬‏]]),"")</f>
        <v>3836</v>
      </c>
      <c r="T19" s="1">
        <f>IFERROR(AVERAGE(Urban[[#This Row],[‫سبتمبر‬‏]]:Urban[[#This Row],[‫یولیو‬‏]]),"")</f>
        <v>3902.6666666666665</v>
      </c>
      <c r="U19" s="1">
        <f>IFERROR(AVERAGE(Urban[[#This Row],[‫یونیو‬‏]]:Urban[[#This Row],[‫ابریل‬‏]]),"")</f>
        <v>3927.3333333333335</v>
      </c>
      <c r="V19" s="1">
        <f>IFERROR(AVERAGE(Urban[[#This Row],[‫مارس‬‏]]:Urban[[#This Row],[‫ینایر‬‏]]),"")</f>
        <v>3876</v>
      </c>
    </row>
    <row r="20" spans="1:22" x14ac:dyDescent="0.35">
      <c r="A20" s="1">
        <v>20</v>
      </c>
      <c r="B20" s="1">
        <v>7641</v>
      </c>
      <c r="C20" s="1">
        <v>7794</v>
      </c>
      <c r="D20" s="1">
        <v>7689</v>
      </c>
      <c r="E20" s="1">
        <v>7736</v>
      </c>
      <c r="F20" s="1">
        <v>7806</v>
      </c>
      <c r="G20" s="1">
        <v>7816</v>
      </c>
      <c r="H20" s="1">
        <v>7824</v>
      </c>
      <c r="I20" s="1">
        <v>7871</v>
      </c>
      <c r="J20" s="1">
        <v>7806</v>
      </c>
      <c r="K20" s="1">
        <v>7807</v>
      </c>
      <c r="L20" s="1">
        <v>7798</v>
      </c>
      <c r="M20" s="1">
        <v>7773</v>
      </c>
      <c r="N20" s="1">
        <v>7785</v>
      </c>
      <c r="O20" s="1">
        <v>7818</v>
      </c>
      <c r="P20" t="s">
        <v>25</v>
      </c>
      <c r="Q20" t="s">
        <v>246</v>
      </c>
      <c r="R20" s="1" t="s">
        <v>228</v>
      </c>
      <c r="S20" s="1">
        <f>IFERROR(AVERAGE(Urban[[#This Row],[‫دیسمبر‬‏]]:Urban[[#This Row],[‫اكتوبر‬‏]]),"")</f>
        <v>7743.666666666667</v>
      </c>
      <c r="T20" s="1">
        <f>IFERROR(AVERAGE(Urban[[#This Row],[‫سبتمبر‬‏]]:Urban[[#This Row],[‫یولیو‬‏]]),"")</f>
        <v>7837</v>
      </c>
      <c r="U20" s="1">
        <f>IFERROR(AVERAGE(Urban[[#This Row],[‫یونیو‬‏]]:Urban[[#This Row],[‫ابریل‬‏]]),"")</f>
        <v>7803.666666666667</v>
      </c>
      <c r="V20" s="1">
        <f>IFERROR(AVERAGE(Urban[[#This Row],[‫مارس‬‏]]:Urban[[#This Row],[‫ینایر‬‏]]),"")</f>
        <v>7792</v>
      </c>
    </row>
    <row r="21" spans="1:22" x14ac:dyDescent="0.35">
      <c r="A21" s="1">
        <v>13</v>
      </c>
      <c r="B21" s="1">
        <v>11085</v>
      </c>
      <c r="C21" s="1">
        <v>11224</v>
      </c>
      <c r="D21" s="1">
        <v>11049</v>
      </c>
      <c r="E21" s="1">
        <v>11132</v>
      </c>
      <c r="F21" s="1">
        <v>11251</v>
      </c>
      <c r="G21" s="1">
        <v>11206</v>
      </c>
      <c r="H21" s="1">
        <v>11317</v>
      </c>
      <c r="I21" s="1">
        <v>11371</v>
      </c>
      <c r="J21" s="1">
        <v>11259</v>
      </c>
      <c r="K21" s="1">
        <v>11217</v>
      </c>
      <c r="L21" s="1">
        <v>11179</v>
      </c>
      <c r="M21" s="1">
        <v>11213</v>
      </c>
      <c r="N21" s="1">
        <v>11222</v>
      </c>
      <c r="O21" s="1">
        <v>11271</v>
      </c>
      <c r="P21" t="s">
        <v>25</v>
      </c>
      <c r="Q21" t="s">
        <v>247</v>
      </c>
      <c r="R21" s="1" t="s">
        <v>228</v>
      </c>
      <c r="S21" s="1">
        <f>IFERROR(AVERAGE(Urban[[#This Row],[‫دیسمبر‬‏]]:Urban[[#This Row],[‫اكتوبر‬‏]]),"")</f>
        <v>11144</v>
      </c>
      <c r="T21" s="1">
        <f>IFERROR(AVERAGE(Urban[[#This Row],[‫سبتمبر‬‏]]:Urban[[#This Row],[‫یولیو‬‏]]),"")</f>
        <v>11298</v>
      </c>
      <c r="U21" s="1">
        <f>IFERROR(AVERAGE(Urban[[#This Row],[‫یونیو‬‏]]:Urban[[#This Row],[‫ابریل‬‏]]),"")</f>
        <v>11218.333333333334</v>
      </c>
      <c r="V21" s="1">
        <f>IFERROR(AVERAGE(Urban[[#This Row],[‫مارس‬‏]]:Urban[[#This Row],[‫ینایر‬‏]]),"")</f>
        <v>11235.333333333334</v>
      </c>
    </row>
    <row r="22" spans="1:22" x14ac:dyDescent="0.35">
      <c r="A22" s="1">
        <v>42</v>
      </c>
      <c r="B22" s="1">
        <v>4504</v>
      </c>
      <c r="C22" s="1">
        <v>4695</v>
      </c>
      <c r="D22" s="1">
        <v>4733</v>
      </c>
      <c r="E22" s="1">
        <v>4724</v>
      </c>
      <c r="F22" s="1">
        <v>4740</v>
      </c>
      <c r="G22" s="1">
        <v>4710</v>
      </c>
      <c r="H22" s="1">
        <v>4690</v>
      </c>
      <c r="I22" s="1">
        <v>4672</v>
      </c>
      <c r="J22" s="1">
        <v>4677</v>
      </c>
      <c r="K22" s="1">
        <v>4646</v>
      </c>
      <c r="L22" s="1">
        <v>4675</v>
      </c>
      <c r="M22" s="1">
        <v>4702</v>
      </c>
      <c r="N22" s="1">
        <v>4693</v>
      </c>
      <c r="O22" s="1">
        <v>4682</v>
      </c>
      <c r="P22" t="s">
        <v>25</v>
      </c>
      <c r="Q22" t="s">
        <v>248</v>
      </c>
      <c r="R22" s="1" t="s">
        <v>228</v>
      </c>
      <c r="S22" s="1">
        <f>IFERROR(AVERAGE(Urban[[#This Row],[‫دیسمبر‬‏]]:Urban[[#This Row],[‫اكتوبر‬‏]]),"")</f>
        <v>4732.333333333333</v>
      </c>
      <c r="T22" s="1">
        <f>IFERROR(AVERAGE(Urban[[#This Row],[‫سبتمبر‬‏]]:Urban[[#This Row],[‫یولیو‬‏]]),"")</f>
        <v>4690.666666666667</v>
      </c>
      <c r="U22" s="1">
        <f>IFERROR(AVERAGE(Urban[[#This Row],[‫یونیو‬‏]]:Urban[[#This Row],[‫ابریل‬‏]]),"")</f>
        <v>4666</v>
      </c>
      <c r="V22" s="1">
        <f>IFERROR(AVERAGE(Urban[[#This Row],[‫مارس‬‏]]:Urban[[#This Row],[‫ینایر‬‏]]),"")</f>
        <v>4692.333333333333</v>
      </c>
    </row>
    <row r="23" spans="1:22" x14ac:dyDescent="0.35">
      <c r="A23" s="1">
        <v>-18</v>
      </c>
      <c r="B23" s="1">
        <v>2279</v>
      </c>
      <c r="C23" s="1">
        <v>2238</v>
      </c>
      <c r="D23" s="1">
        <v>2248</v>
      </c>
      <c r="E23" s="1">
        <v>2279</v>
      </c>
      <c r="F23" s="1">
        <v>2262</v>
      </c>
      <c r="G23" s="1">
        <v>2255</v>
      </c>
      <c r="H23" s="1">
        <v>2239</v>
      </c>
      <c r="I23" s="1">
        <v>2240</v>
      </c>
      <c r="J23" s="1">
        <v>2232</v>
      </c>
      <c r="K23" s="1">
        <v>2229</v>
      </c>
      <c r="L23" s="1">
        <v>2223</v>
      </c>
      <c r="M23" s="1">
        <v>2224</v>
      </c>
      <c r="N23" s="1">
        <v>2213</v>
      </c>
      <c r="O23" s="1">
        <v>2217</v>
      </c>
      <c r="P23" t="s">
        <v>25</v>
      </c>
      <c r="Q23" t="s">
        <v>249</v>
      </c>
      <c r="R23" s="1" t="s">
        <v>228</v>
      </c>
      <c r="S23" s="1">
        <f>IFERROR(AVERAGE(Urban[[#This Row],[‫دیسمبر‬‏]]:Urban[[#This Row],[‫اكتوبر‬‏]]),"")</f>
        <v>2263</v>
      </c>
      <c r="T23" s="1">
        <f>IFERROR(AVERAGE(Urban[[#This Row],[‫سبتمبر‬‏]]:Urban[[#This Row],[‫یولیو‬‏]]),"")</f>
        <v>2244.6666666666665</v>
      </c>
      <c r="U23" s="1">
        <f>IFERROR(AVERAGE(Urban[[#This Row],[‫یونیو‬‏]]:Urban[[#This Row],[‫ابریل‬‏]]),"")</f>
        <v>2228</v>
      </c>
      <c r="V23" s="1">
        <f>IFERROR(AVERAGE(Urban[[#This Row],[‫مارس‬‏]]:Urban[[#This Row],[‫ینایر‬‏]]),"")</f>
        <v>2218</v>
      </c>
    </row>
    <row r="24" spans="1:22" x14ac:dyDescent="0.35">
      <c r="A24" s="1">
        <v>44</v>
      </c>
      <c r="B24" s="1">
        <v>4201</v>
      </c>
      <c r="C24" s="1">
        <v>4384</v>
      </c>
      <c r="D24" s="1">
        <v>4489</v>
      </c>
      <c r="E24" s="1">
        <v>4439</v>
      </c>
      <c r="F24" s="1">
        <v>4436</v>
      </c>
      <c r="G24" s="1">
        <v>4416</v>
      </c>
      <c r="H24" s="1">
        <v>4389</v>
      </c>
      <c r="I24" s="1">
        <v>4389</v>
      </c>
      <c r="J24" s="1">
        <v>4353</v>
      </c>
      <c r="K24" s="1">
        <v>4362</v>
      </c>
      <c r="L24" s="1">
        <v>4360</v>
      </c>
      <c r="M24" s="1">
        <v>4347</v>
      </c>
      <c r="N24" s="1">
        <v>4342</v>
      </c>
      <c r="O24" s="1">
        <v>4287</v>
      </c>
      <c r="P24" t="s">
        <v>25</v>
      </c>
      <c r="Q24" t="s">
        <v>250</v>
      </c>
      <c r="R24" s="1" t="s">
        <v>228</v>
      </c>
      <c r="S24" s="1">
        <f>IFERROR(AVERAGE(Urban[[#This Row],[‫دیسمبر‬‏]]:Urban[[#This Row],[‫اكتوبر‬‏]]),"")</f>
        <v>4454.666666666667</v>
      </c>
      <c r="T24" s="1">
        <f>IFERROR(AVERAGE(Urban[[#This Row],[‫سبتمبر‬‏]]:Urban[[#This Row],[‫یولیو‬‏]]),"")</f>
        <v>4398</v>
      </c>
      <c r="U24" s="1">
        <f>IFERROR(AVERAGE(Urban[[#This Row],[‫یونیو‬‏]]:Urban[[#This Row],[‫ابریل‬‏]]),"")</f>
        <v>4358.333333333333</v>
      </c>
      <c r="V24" s="1">
        <f>IFERROR(AVERAGE(Urban[[#This Row],[‫مارس‬‏]]:Urban[[#This Row],[‫ینایر‬‏]]),"")</f>
        <v>4325.333333333333</v>
      </c>
    </row>
    <row r="25" spans="1:22" x14ac:dyDescent="0.35">
      <c r="A25" s="1">
        <v>52</v>
      </c>
      <c r="B25" s="1">
        <v>3609</v>
      </c>
      <c r="C25" s="1">
        <v>3797</v>
      </c>
      <c r="D25" s="1">
        <v>3886</v>
      </c>
      <c r="E25" s="1">
        <v>3936</v>
      </c>
      <c r="F25" s="1">
        <v>3866</v>
      </c>
      <c r="G25" s="1">
        <v>3836</v>
      </c>
      <c r="H25" s="1">
        <v>3813</v>
      </c>
      <c r="I25" s="1">
        <v>3796</v>
      </c>
      <c r="J25" s="1">
        <v>3759</v>
      </c>
      <c r="K25" s="1">
        <v>3731</v>
      </c>
      <c r="L25" s="1">
        <v>3723</v>
      </c>
      <c r="M25" s="1">
        <v>3728</v>
      </c>
      <c r="N25" s="1">
        <v>3807</v>
      </c>
      <c r="O25" s="1">
        <v>3689</v>
      </c>
      <c r="P25" t="s">
        <v>25</v>
      </c>
      <c r="Q25" t="s">
        <v>251</v>
      </c>
      <c r="R25" s="1" t="s">
        <v>228</v>
      </c>
      <c r="S25" s="1">
        <f>IFERROR(AVERAGE(Urban[[#This Row],[‫دیسمبر‬‏]]:Urban[[#This Row],[‫اكتوبر‬‏]]),"")</f>
        <v>3896</v>
      </c>
      <c r="T25" s="1">
        <f>IFERROR(AVERAGE(Urban[[#This Row],[‫سبتمبر‬‏]]:Urban[[#This Row],[‫یولیو‬‏]]),"")</f>
        <v>3815</v>
      </c>
      <c r="U25" s="1">
        <f>IFERROR(AVERAGE(Urban[[#This Row],[‫یونیو‬‏]]:Urban[[#This Row],[‫ابریل‬‏]]),"")</f>
        <v>3737.6666666666665</v>
      </c>
      <c r="V25" s="1">
        <f>IFERROR(AVERAGE(Urban[[#This Row],[‫مارس‬‏]]:Urban[[#This Row],[‫ینایر‬‏]]),"")</f>
        <v>3741.3333333333335</v>
      </c>
    </row>
    <row r="26" spans="1:22" x14ac:dyDescent="0.35">
      <c r="A26" s="1">
        <v>112</v>
      </c>
      <c r="B26" s="1">
        <v>7786</v>
      </c>
      <c r="C26" s="1">
        <v>8656</v>
      </c>
      <c r="D26" s="1">
        <v>7874</v>
      </c>
      <c r="E26" s="1">
        <v>7993</v>
      </c>
      <c r="F26" s="1">
        <v>8150</v>
      </c>
      <c r="G26" s="1">
        <v>8020</v>
      </c>
      <c r="H26" s="1">
        <v>8166</v>
      </c>
      <c r="I26" s="1">
        <v>7959</v>
      </c>
      <c r="J26" s="1">
        <v>8329</v>
      </c>
      <c r="K26" s="1">
        <v>8531</v>
      </c>
      <c r="L26" s="1">
        <v>8268</v>
      </c>
      <c r="M26" s="1">
        <v>8661</v>
      </c>
      <c r="N26" s="1">
        <v>10872</v>
      </c>
      <c r="O26" s="1">
        <v>11044</v>
      </c>
      <c r="P26" t="s">
        <v>25</v>
      </c>
      <c r="Q26" t="s">
        <v>252</v>
      </c>
      <c r="R26" s="1" t="s">
        <v>228</v>
      </c>
      <c r="S26" s="1">
        <f>IFERROR(AVERAGE(Urban[[#This Row],[‫دیسمبر‬‏]]:Urban[[#This Row],[‫اكتوبر‬‏]]),"")</f>
        <v>8005.666666666667</v>
      </c>
      <c r="T26" s="1">
        <f>IFERROR(AVERAGE(Urban[[#This Row],[‫سبتمبر‬‏]]:Urban[[#This Row],[‫یولیو‬‏]]),"")</f>
        <v>8048.333333333333</v>
      </c>
      <c r="U26" s="1">
        <f>IFERROR(AVERAGE(Urban[[#This Row],[‫یونیو‬‏]]:Urban[[#This Row],[‫ابریل‬‏]]),"")</f>
        <v>8376</v>
      </c>
      <c r="V26" s="1">
        <f>IFERROR(AVERAGE(Urban[[#This Row],[‫مارس‬‏]]:Urban[[#This Row],[‫ینایر‬‏]]),"")</f>
        <v>10192.333333333334</v>
      </c>
    </row>
    <row r="27" spans="1:22" x14ac:dyDescent="0.35">
      <c r="A27" s="1">
        <v>-151</v>
      </c>
      <c r="B27" s="1">
        <v>4279</v>
      </c>
      <c r="C27" s="1">
        <v>3633</v>
      </c>
      <c r="D27" s="1">
        <v>3285</v>
      </c>
      <c r="E27" s="1">
        <v>3356</v>
      </c>
      <c r="F27" s="1">
        <v>3412</v>
      </c>
      <c r="G27" s="1">
        <v>3331</v>
      </c>
      <c r="H27" s="1">
        <v>3225</v>
      </c>
      <c r="I27" s="1">
        <v>3138</v>
      </c>
      <c r="J27" s="1">
        <v>3171</v>
      </c>
      <c r="K27" s="1">
        <v>3075</v>
      </c>
      <c r="L27" s="1">
        <v>2761</v>
      </c>
      <c r="M27" s="1">
        <v>3197</v>
      </c>
      <c r="N27" s="1">
        <v>5319</v>
      </c>
      <c r="O27" s="1">
        <v>6325</v>
      </c>
      <c r="P27" t="s">
        <v>25</v>
      </c>
      <c r="Q27" t="s">
        <v>253</v>
      </c>
      <c r="R27" s="1" t="s">
        <v>228</v>
      </c>
      <c r="S27" s="1">
        <f>IFERROR(AVERAGE(Urban[[#This Row],[‫دیسمبر‬‏]]:Urban[[#This Row],[‫اكتوبر‬‏]]),"")</f>
        <v>3351</v>
      </c>
      <c r="T27" s="1">
        <f>IFERROR(AVERAGE(Urban[[#This Row],[‫سبتمبر‬‏]]:Urban[[#This Row],[‫یولیو‬‏]]),"")</f>
        <v>3231.3333333333335</v>
      </c>
      <c r="U27" s="1">
        <f>IFERROR(AVERAGE(Urban[[#This Row],[‫یونیو‬‏]]:Urban[[#This Row],[‫ابریل‬‏]]),"")</f>
        <v>3002.3333333333335</v>
      </c>
      <c r="V27" s="1">
        <f>IFERROR(AVERAGE(Urban[[#This Row],[‫مارس‬‏]]:Urban[[#This Row],[‫ینایر‬‏]]),"")</f>
        <v>4947</v>
      </c>
    </row>
    <row r="28" spans="1:22" x14ac:dyDescent="0.35">
      <c r="A28" s="1">
        <v>-188</v>
      </c>
      <c r="B28" s="1">
        <v>2094</v>
      </c>
      <c r="C28" s="1">
        <v>1700</v>
      </c>
      <c r="D28" s="1">
        <v>1540</v>
      </c>
      <c r="E28" s="1">
        <v>1540</v>
      </c>
      <c r="F28" s="1">
        <v>1576</v>
      </c>
      <c r="G28" s="1">
        <v>1537</v>
      </c>
      <c r="H28" s="1">
        <v>1554</v>
      </c>
      <c r="I28" s="1">
        <v>1570</v>
      </c>
      <c r="J28" s="1">
        <v>1517</v>
      </c>
      <c r="K28" s="1">
        <v>1704</v>
      </c>
      <c r="L28" s="1">
        <v>2035</v>
      </c>
      <c r="M28" s="1">
        <v>1943</v>
      </c>
      <c r="N28" s="1">
        <v>1870</v>
      </c>
      <c r="O28" s="1">
        <v>2011</v>
      </c>
      <c r="P28" t="s">
        <v>25</v>
      </c>
      <c r="Q28" t="s">
        <v>254</v>
      </c>
      <c r="R28" s="1" t="s">
        <v>228</v>
      </c>
      <c r="S28" s="1">
        <f>IFERROR(AVERAGE(Urban[[#This Row],[‫دیسمبر‬‏]]:Urban[[#This Row],[‫اكتوبر‬‏]]),"")</f>
        <v>1552</v>
      </c>
      <c r="T28" s="1">
        <f>IFERROR(AVERAGE(Urban[[#This Row],[‫سبتمبر‬‏]]:Urban[[#This Row],[‫یولیو‬‏]]),"")</f>
        <v>1553.6666666666667</v>
      </c>
      <c r="U28" s="1">
        <f>IFERROR(AVERAGE(Urban[[#This Row],[‫یونیو‬‏]]:Urban[[#This Row],[‫ابریل‬‏]]),"")</f>
        <v>1752</v>
      </c>
      <c r="V28" s="1">
        <f>IFERROR(AVERAGE(Urban[[#This Row],[‫مارس‬‏]]:Urban[[#This Row],[‫ینایر‬‏]]),"")</f>
        <v>1941.3333333333333</v>
      </c>
    </row>
    <row r="29" spans="1:22" x14ac:dyDescent="0.35">
      <c r="A29" s="1">
        <v>-158</v>
      </c>
      <c r="B29" s="1">
        <v>1495</v>
      </c>
      <c r="C29" s="1">
        <v>1259</v>
      </c>
      <c r="D29" s="1">
        <v>1211</v>
      </c>
      <c r="E29" s="1">
        <v>1225</v>
      </c>
      <c r="F29" s="1">
        <v>1243</v>
      </c>
      <c r="G29" s="1">
        <v>1217</v>
      </c>
      <c r="H29" s="1">
        <v>1182</v>
      </c>
      <c r="I29" s="1">
        <v>1128</v>
      </c>
      <c r="J29" s="1">
        <v>1043</v>
      </c>
      <c r="K29" s="1">
        <v>1163</v>
      </c>
      <c r="L29" s="1">
        <v>1386</v>
      </c>
      <c r="M29" s="1">
        <v>1391</v>
      </c>
      <c r="N29" s="1">
        <v>1381</v>
      </c>
      <c r="O29" s="1">
        <v>1543</v>
      </c>
      <c r="P29" t="s">
        <v>25</v>
      </c>
      <c r="Q29" t="s">
        <v>255</v>
      </c>
      <c r="R29" s="1" t="s">
        <v>228</v>
      </c>
      <c r="S29" s="1">
        <f>IFERROR(AVERAGE(Urban[[#This Row],[‫دیسمبر‬‏]]:Urban[[#This Row],[‫اكتوبر‬‏]]),"")</f>
        <v>1226.3333333333333</v>
      </c>
      <c r="T29" s="1">
        <f>IFERROR(AVERAGE(Urban[[#This Row],[‫سبتمبر‬‏]]:Urban[[#This Row],[‫یولیو‬‏]]),"")</f>
        <v>1175.6666666666667</v>
      </c>
      <c r="U29" s="1">
        <f>IFERROR(AVERAGE(Urban[[#This Row],[‫یونیو‬‏]]:Urban[[#This Row],[‫ابریل‬‏]]),"")</f>
        <v>1197.3333333333333</v>
      </c>
      <c r="V29" s="1">
        <f>IFERROR(AVERAGE(Urban[[#This Row],[‫مارس‬‏]]:Urban[[#This Row],[‫ینایر‬‏]]),"")</f>
        <v>1438.3333333333333</v>
      </c>
    </row>
    <row r="30" spans="1:22" x14ac:dyDescent="0.35">
      <c r="A30" s="1">
        <v>-358</v>
      </c>
      <c r="B30" s="1">
        <v>1934</v>
      </c>
      <c r="C30" s="1">
        <v>1241</v>
      </c>
      <c r="D30" s="1">
        <v>1363</v>
      </c>
      <c r="E30" s="1">
        <v>1308</v>
      </c>
      <c r="F30" s="1">
        <v>1384</v>
      </c>
      <c r="G30" s="1">
        <v>1399</v>
      </c>
      <c r="H30" s="1">
        <v>1359</v>
      </c>
      <c r="I30" s="1">
        <v>1127</v>
      </c>
      <c r="J30" s="1">
        <v>1090</v>
      </c>
      <c r="K30" s="1">
        <v>1165</v>
      </c>
      <c r="L30" s="1">
        <v>1109</v>
      </c>
      <c r="M30" s="1">
        <v>1056</v>
      </c>
      <c r="N30" s="1">
        <v>1194</v>
      </c>
      <c r="O30" s="1">
        <v>1335</v>
      </c>
      <c r="P30" t="s">
        <v>25</v>
      </c>
      <c r="Q30" t="s">
        <v>256</v>
      </c>
      <c r="R30" s="1" t="s">
        <v>228</v>
      </c>
      <c r="S30" s="1">
        <f>IFERROR(AVERAGE(Urban[[#This Row],[‫دیسمبر‬‏]]:Urban[[#This Row],[‫اكتوبر‬‏]]),"")</f>
        <v>1351.6666666666667</v>
      </c>
      <c r="T30" s="1">
        <f>IFERROR(AVERAGE(Urban[[#This Row],[‫سبتمبر‬‏]]:Urban[[#This Row],[‫یولیو‬‏]]),"")</f>
        <v>1295</v>
      </c>
      <c r="U30" s="1">
        <f>IFERROR(AVERAGE(Urban[[#This Row],[‫یونیو‬‏]]:Urban[[#This Row],[‫ابریل‬‏]]),"")</f>
        <v>1121.3333333333333</v>
      </c>
      <c r="V30" s="1">
        <f>IFERROR(AVERAGE(Urban[[#This Row],[‫مارس‬‏]]:Urban[[#This Row],[‫ینایر‬‏]]),"")</f>
        <v>1195</v>
      </c>
    </row>
    <row r="31" spans="1:22" x14ac:dyDescent="0.35">
      <c r="A31" s="1">
        <v>-212</v>
      </c>
      <c r="B31" s="1">
        <v>1350</v>
      </c>
      <c r="C31" s="1">
        <v>1064</v>
      </c>
      <c r="D31" s="1">
        <v>982</v>
      </c>
      <c r="E31" s="1">
        <v>1229</v>
      </c>
      <c r="F31" s="1">
        <v>2108</v>
      </c>
      <c r="G31" s="1">
        <v>1313</v>
      </c>
      <c r="H31" s="1">
        <v>893</v>
      </c>
      <c r="I31" s="1">
        <v>917</v>
      </c>
      <c r="J31" s="1">
        <v>1238</v>
      </c>
      <c r="K31" s="1">
        <v>1182</v>
      </c>
      <c r="L31" s="1">
        <v>843</v>
      </c>
      <c r="M31" s="1">
        <v>593</v>
      </c>
      <c r="N31" s="1">
        <v>629</v>
      </c>
      <c r="O31" s="1">
        <v>840</v>
      </c>
      <c r="P31" t="s">
        <v>25</v>
      </c>
      <c r="Q31" t="s">
        <v>257</v>
      </c>
      <c r="R31" s="1" t="s">
        <v>228</v>
      </c>
      <c r="S31" s="1">
        <f>IFERROR(AVERAGE(Urban[[#This Row],[‫دیسمبر‬‏]]:Urban[[#This Row],[‫اكتوبر‬‏]]),"")</f>
        <v>1439.6666666666667</v>
      </c>
      <c r="T31" s="1">
        <f>IFERROR(AVERAGE(Urban[[#This Row],[‫سبتمبر‬‏]]:Urban[[#This Row],[‫یولیو‬‏]]),"")</f>
        <v>1041</v>
      </c>
      <c r="U31" s="1">
        <f>IFERROR(AVERAGE(Urban[[#This Row],[‫یونیو‬‏]]:Urban[[#This Row],[‫ابریل‬‏]]),"")</f>
        <v>1087.6666666666667</v>
      </c>
      <c r="V31" s="1">
        <f>IFERROR(AVERAGE(Urban[[#This Row],[‫مارس‬‏]]:Urban[[#This Row],[‫ینایر‬‏]]),"")</f>
        <v>687.33333333333337</v>
      </c>
    </row>
    <row r="32" spans="1:22" x14ac:dyDescent="0.35">
      <c r="A32" s="1">
        <v>105</v>
      </c>
      <c r="B32" s="1">
        <v>1828</v>
      </c>
      <c r="C32" s="1">
        <v>2020</v>
      </c>
      <c r="D32" s="1">
        <v>2269</v>
      </c>
      <c r="E32" s="1">
        <v>2047</v>
      </c>
      <c r="F32" s="1">
        <v>2467</v>
      </c>
      <c r="G32" s="1">
        <v>2714</v>
      </c>
      <c r="H32" s="1">
        <v>2210</v>
      </c>
      <c r="I32" s="1">
        <v>1693</v>
      </c>
      <c r="J32" s="1">
        <v>1771</v>
      </c>
      <c r="K32" s="1">
        <v>1708</v>
      </c>
      <c r="L32" s="1">
        <v>1916</v>
      </c>
      <c r="M32" s="1">
        <v>2039</v>
      </c>
      <c r="N32" s="1">
        <v>1567</v>
      </c>
      <c r="O32" s="1">
        <v>1836</v>
      </c>
      <c r="P32" t="s">
        <v>25</v>
      </c>
      <c r="Q32" t="s">
        <v>258</v>
      </c>
      <c r="R32" s="1" t="s">
        <v>228</v>
      </c>
      <c r="S32" s="1">
        <f>IFERROR(AVERAGE(Urban[[#This Row],[‫دیسمبر‬‏]]:Urban[[#This Row],[‫اكتوبر‬‏]]),"")</f>
        <v>2261</v>
      </c>
      <c r="T32" s="1">
        <f>IFERROR(AVERAGE(Urban[[#This Row],[‫سبتمبر‬‏]]:Urban[[#This Row],[‫یولیو‬‏]]),"")</f>
        <v>2205.6666666666665</v>
      </c>
      <c r="U32" s="1">
        <f>IFERROR(AVERAGE(Urban[[#This Row],[‫یونیو‬‏]]:Urban[[#This Row],[‫ابریل‬‏]]),"")</f>
        <v>1798.3333333333333</v>
      </c>
      <c r="V32" s="1">
        <f>IFERROR(AVERAGE(Urban[[#This Row],[‫مارس‬‏]]:Urban[[#This Row],[‫ینایر‬‏]]),"")</f>
        <v>1814</v>
      </c>
    </row>
    <row r="33" spans="1:22" x14ac:dyDescent="0.35">
      <c r="A33" s="1">
        <v>184</v>
      </c>
      <c r="B33" s="1">
        <v>1744</v>
      </c>
      <c r="C33" s="1">
        <v>2065</v>
      </c>
      <c r="D33" s="1">
        <v>2042</v>
      </c>
      <c r="E33" s="1">
        <v>2091</v>
      </c>
      <c r="F33" s="1">
        <v>2164</v>
      </c>
      <c r="G33" s="1">
        <v>2141</v>
      </c>
      <c r="H33" s="1"/>
      <c r="I33" s="1"/>
      <c r="J33" s="1"/>
      <c r="K33" s="1"/>
      <c r="L33" s="1">
        <v>2044</v>
      </c>
      <c r="M33" s="1">
        <v>2117</v>
      </c>
      <c r="N33" s="1">
        <v>1976</v>
      </c>
      <c r="O33" s="1">
        <v>1944</v>
      </c>
      <c r="P33" t="s">
        <v>25</v>
      </c>
      <c r="Q33" t="s">
        <v>259</v>
      </c>
      <c r="R33" s="1" t="s">
        <v>228</v>
      </c>
      <c r="S33" s="1">
        <f>IFERROR(AVERAGE(Urban[[#This Row],[‫دیسمبر‬‏]]:Urban[[#This Row],[‫اكتوبر‬‏]]),"")</f>
        <v>2099</v>
      </c>
      <c r="T33" s="1">
        <f>IFERROR(AVERAGE(Urban[[#This Row],[‫سبتمبر‬‏]]:Urban[[#This Row],[‫یولیو‬‏]]),"")</f>
        <v>2141</v>
      </c>
      <c r="U33" s="1">
        <f>IFERROR(AVERAGE(Urban[[#This Row],[‫یونیو‬‏]]:Urban[[#This Row],[‫ابریل‬‏]]),"")</f>
        <v>2044</v>
      </c>
      <c r="V33" s="1">
        <f>IFERROR(AVERAGE(Urban[[#This Row],[‫مارس‬‏]]:Urban[[#This Row],[‫ینایر‬‏]]),"")</f>
        <v>2012.3333333333333</v>
      </c>
    </row>
    <row r="34" spans="1:22" x14ac:dyDescent="0.35">
      <c r="A34" s="1">
        <v>571</v>
      </c>
      <c r="B34" s="1">
        <v>3725</v>
      </c>
      <c r="C34" s="1">
        <v>5851</v>
      </c>
      <c r="D34" s="1">
        <v>5513</v>
      </c>
      <c r="E34" s="1">
        <v>6289</v>
      </c>
      <c r="F34" s="1">
        <v>6465</v>
      </c>
      <c r="G34" s="1">
        <v>6673</v>
      </c>
      <c r="H34" s="1">
        <v>6432</v>
      </c>
      <c r="I34" s="1">
        <v>6289</v>
      </c>
      <c r="J34" s="1">
        <v>6449</v>
      </c>
      <c r="K34" s="1">
        <v>6387</v>
      </c>
      <c r="L34" s="1">
        <v>5626</v>
      </c>
      <c r="M34" s="1">
        <v>5111</v>
      </c>
      <c r="N34" s="1">
        <v>4537</v>
      </c>
      <c r="O34" s="1">
        <v>4445</v>
      </c>
      <c r="P34" t="s">
        <v>25</v>
      </c>
      <c r="Q34" t="s">
        <v>260</v>
      </c>
      <c r="R34" s="1" t="s">
        <v>228</v>
      </c>
      <c r="S34" s="1">
        <f>IFERROR(AVERAGE(Urban[[#This Row],[‫دیسمبر‬‏]]:Urban[[#This Row],[‫اكتوبر‬‏]]),"")</f>
        <v>6089</v>
      </c>
      <c r="T34" s="1">
        <f>IFERROR(AVERAGE(Urban[[#This Row],[‫سبتمبر‬‏]]:Urban[[#This Row],[‫یولیو‬‏]]),"")</f>
        <v>6464.666666666667</v>
      </c>
      <c r="U34" s="1">
        <f>IFERROR(AVERAGE(Urban[[#This Row],[‫یونیو‬‏]]:Urban[[#This Row],[‫ابریل‬‏]]),"")</f>
        <v>6154</v>
      </c>
      <c r="V34" s="1">
        <f>IFERROR(AVERAGE(Urban[[#This Row],[‫مارس‬‏]]:Urban[[#This Row],[‫ینایر‬‏]]),"")</f>
        <v>4697.666666666667</v>
      </c>
    </row>
    <row r="35" spans="1:22" x14ac:dyDescent="0.35">
      <c r="A35" s="1">
        <v>713</v>
      </c>
      <c r="B35" s="1">
        <v>1990</v>
      </c>
      <c r="C35" s="1">
        <v>3408</v>
      </c>
      <c r="D35" s="1">
        <v>3299</v>
      </c>
      <c r="E35" s="1">
        <v>3771</v>
      </c>
      <c r="F35" s="1">
        <v>3867</v>
      </c>
      <c r="G35" s="1">
        <v>3895</v>
      </c>
      <c r="H35" s="1">
        <v>3830</v>
      </c>
      <c r="I35" s="1">
        <v>3798</v>
      </c>
      <c r="J35" s="1">
        <v>3822</v>
      </c>
      <c r="K35" s="1">
        <v>3697</v>
      </c>
      <c r="L35" s="1">
        <v>3220</v>
      </c>
      <c r="M35" s="1">
        <v>2909</v>
      </c>
      <c r="N35" s="1">
        <v>2429</v>
      </c>
      <c r="O35" s="1">
        <v>2359</v>
      </c>
      <c r="P35" t="s">
        <v>25</v>
      </c>
      <c r="Q35" t="s">
        <v>261</v>
      </c>
      <c r="R35" s="1" t="s">
        <v>228</v>
      </c>
      <c r="S35" s="1">
        <f>IFERROR(AVERAGE(Urban[[#This Row],[‫دیسمبر‬‏]]:Urban[[#This Row],[‫اكتوبر‬‏]]),"")</f>
        <v>3645.6666666666665</v>
      </c>
      <c r="T35" s="1">
        <f>IFERROR(AVERAGE(Urban[[#This Row],[‫سبتمبر‬‏]]:Urban[[#This Row],[‫یولیو‬‏]]),"")</f>
        <v>3841</v>
      </c>
      <c r="U35" s="1">
        <f>IFERROR(AVERAGE(Urban[[#This Row],[‫یونیو‬‏]]:Urban[[#This Row],[‫ابریل‬‏]]),"")</f>
        <v>3579.6666666666665</v>
      </c>
      <c r="V35" s="1">
        <f>IFERROR(AVERAGE(Urban[[#This Row],[‫مارس‬‏]]:Urban[[#This Row],[‫ینایر‬‏]]),"")</f>
        <v>2565.6666666666665</v>
      </c>
    </row>
    <row r="36" spans="1:22" x14ac:dyDescent="0.35">
      <c r="A36" s="1">
        <v>1174</v>
      </c>
      <c r="B36" s="1">
        <v>2431</v>
      </c>
      <c r="C36" s="1">
        <v>5285</v>
      </c>
      <c r="D36" s="1">
        <v>3935</v>
      </c>
      <c r="E36" s="1">
        <v>2473</v>
      </c>
      <c r="F36" s="1">
        <v>2530</v>
      </c>
      <c r="G36" s="1">
        <v>2571</v>
      </c>
      <c r="H36" s="1">
        <v>2786</v>
      </c>
      <c r="I36" s="1">
        <v>3783</v>
      </c>
      <c r="J36" s="1">
        <v>7103</v>
      </c>
      <c r="K36" s="1">
        <v>9402</v>
      </c>
      <c r="L36" s="1">
        <v>9472</v>
      </c>
      <c r="M36" s="1">
        <v>8152</v>
      </c>
      <c r="N36" s="1">
        <v>5839</v>
      </c>
      <c r="O36" s="1">
        <v>5381</v>
      </c>
      <c r="P36" t="s">
        <v>25</v>
      </c>
      <c r="Q36" t="s">
        <v>262</v>
      </c>
      <c r="R36" s="1" t="s">
        <v>228</v>
      </c>
      <c r="S36" s="1">
        <f>IFERROR(AVERAGE(Urban[[#This Row],[‫دیسمبر‬‏]]:Urban[[#This Row],[‫اكتوبر‬‏]]),"")</f>
        <v>2979.3333333333335</v>
      </c>
      <c r="T36" s="1">
        <f>IFERROR(AVERAGE(Urban[[#This Row],[‫سبتمبر‬‏]]:Urban[[#This Row],[‫یولیو‬‏]]),"")</f>
        <v>3046.6666666666665</v>
      </c>
      <c r="U36" s="1">
        <f>IFERROR(AVERAGE(Urban[[#This Row],[‫یونیو‬‏]]:Urban[[#This Row],[‫ابریل‬‏]]),"")</f>
        <v>8659</v>
      </c>
      <c r="V36" s="1">
        <f>IFERROR(AVERAGE(Urban[[#This Row],[‫مارس‬‏]]:Urban[[#This Row],[‫ینایر‬‏]]),"")</f>
        <v>6457.333333333333</v>
      </c>
    </row>
    <row r="37" spans="1:22" x14ac:dyDescent="0.35">
      <c r="A37" s="1">
        <v>167</v>
      </c>
      <c r="B37" s="1">
        <v>1725</v>
      </c>
      <c r="C37" s="1">
        <v>2014</v>
      </c>
      <c r="D37" s="1">
        <v>2091</v>
      </c>
      <c r="E37" s="1">
        <v>2317</v>
      </c>
      <c r="F37" s="1">
        <v>2428</v>
      </c>
      <c r="G37" s="1"/>
      <c r="H37" s="1"/>
      <c r="I37" s="1"/>
      <c r="J37" s="1"/>
      <c r="K37" s="1">
        <v>2036</v>
      </c>
      <c r="L37" s="1">
        <v>1894</v>
      </c>
      <c r="M37" s="1">
        <v>1828</v>
      </c>
      <c r="N37" s="1">
        <v>1724</v>
      </c>
      <c r="O37" s="1">
        <v>1790</v>
      </c>
      <c r="P37" t="s">
        <v>25</v>
      </c>
      <c r="Q37" t="s">
        <v>263</v>
      </c>
      <c r="R37" s="1" t="s">
        <v>228</v>
      </c>
      <c r="S37" s="1">
        <f>IFERROR(AVERAGE(Urban[[#This Row],[‫دیسمبر‬‏]]:Urban[[#This Row],[‫اكتوبر‬‏]]),"")</f>
        <v>2278.6666666666665</v>
      </c>
      <c r="T37" s="1" t="str">
        <f>IFERROR(AVERAGE(Urban[[#This Row],[‫سبتمبر‬‏]]:Urban[[#This Row],[‫یولیو‬‏]]),"")</f>
        <v/>
      </c>
      <c r="U37" s="1">
        <f>IFERROR(AVERAGE(Urban[[#This Row],[‫یونیو‬‏]]:Urban[[#This Row],[‫ابریل‬‏]]),"")</f>
        <v>1965</v>
      </c>
      <c r="V37" s="1">
        <f>IFERROR(AVERAGE(Urban[[#This Row],[‫مارس‬‏]]:Urban[[#This Row],[‫ینایر‬‏]]),"")</f>
        <v>1780.6666666666667</v>
      </c>
    </row>
    <row r="38" spans="1:22" x14ac:dyDescent="0.35">
      <c r="A38" s="1">
        <v>45</v>
      </c>
      <c r="B38" s="1">
        <v>2688</v>
      </c>
      <c r="C38" s="1">
        <v>2808</v>
      </c>
      <c r="D38" s="1">
        <v>2552</v>
      </c>
      <c r="E38" s="1">
        <v>2841</v>
      </c>
      <c r="F38" s="1">
        <v>2933</v>
      </c>
      <c r="G38" s="1">
        <v>2840</v>
      </c>
      <c r="H38" s="1"/>
      <c r="I38" s="1"/>
      <c r="J38" s="1">
        <v>2757</v>
      </c>
      <c r="K38" s="1">
        <v>2916</v>
      </c>
      <c r="L38" s="1">
        <v>2873</v>
      </c>
      <c r="M38" s="1">
        <v>2846</v>
      </c>
      <c r="N38" s="1">
        <v>2748</v>
      </c>
      <c r="O38" s="1">
        <v>2772</v>
      </c>
      <c r="P38" t="s">
        <v>25</v>
      </c>
      <c r="Q38" t="s">
        <v>264</v>
      </c>
      <c r="R38" s="1" t="s">
        <v>228</v>
      </c>
      <c r="S38" s="1">
        <f>IFERROR(AVERAGE(Urban[[#This Row],[‫دیسمبر‬‏]]:Urban[[#This Row],[‫اكتوبر‬‏]]),"")</f>
        <v>2775.3333333333335</v>
      </c>
      <c r="T38" s="1">
        <f>IFERROR(AVERAGE(Urban[[#This Row],[‫سبتمبر‬‏]]:Urban[[#This Row],[‫یولیو‬‏]]),"")</f>
        <v>2840</v>
      </c>
      <c r="U38" s="1">
        <f>IFERROR(AVERAGE(Urban[[#This Row],[‫یونیو‬‏]]:Urban[[#This Row],[‫ابریل‬‏]]),"")</f>
        <v>2848.6666666666665</v>
      </c>
      <c r="V38" s="1">
        <f>IFERROR(AVERAGE(Urban[[#This Row],[‫مارس‬‏]]:Urban[[#This Row],[‫ینایر‬‏]]),"")</f>
        <v>2788.6666666666665</v>
      </c>
    </row>
    <row r="39" spans="1:22" x14ac:dyDescent="0.35">
      <c r="A39" s="1">
        <v>-155</v>
      </c>
      <c r="B39" s="1">
        <v>3087</v>
      </c>
      <c r="C39" s="1">
        <v>2610</v>
      </c>
      <c r="D39" s="1">
        <v>2887</v>
      </c>
      <c r="E39" s="1">
        <v>3664</v>
      </c>
      <c r="F39" s="1"/>
      <c r="G39" s="1"/>
      <c r="H39" s="1"/>
      <c r="I39" s="1"/>
      <c r="J39" s="1"/>
      <c r="K39" s="1">
        <v>2341</v>
      </c>
      <c r="L39" s="1">
        <v>2099</v>
      </c>
      <c r="M39" s="1">
        <v>2013</v>
      </c>
      <c r="N39" s="1">
        <v>2275</v>
      </c>
      <c r="O39" s="1">
        <v>2989</v>
      </c>
      <c r="P39" t="s">
        <v>25</v>
      </c>
      <c r="Q39" t="s">
        <v>265</v>
      </c>
      <c r="R39" s="1" t="s">
        <v>228</v>
      </c>
      <c r="S39" s="1">
        <f>IFERROR(AVERAGE(Urban[[#This Row],[‫دیسمبر‬‏]]:Urban[[#This Row],[‫اكتوبر‬‏]]),"")</f>
        <v>3275.5</v>
      </c>
      <c r="T39" s="1" t="str">
        <f>IFERROR(AVERAGE(Urban[[#This Row],[‫سبتمبر‬‏]]:Urban[[#This Row],[‫یولیو‬‏]]),"")</f>
        <v/>
      </c>
      <c r="U39" s="1">
        <f>IFERROR(AVERAGE(Urban[[#This Row],[‫یونیو‬‏]]:Urban[[#This Row],[‫ابریل‬‏]]),"")</f>
        <v>2220</v>
      </c>
      <c r="V39" s="1">
        <f>IFERROR(AVERAGE(Urban[[#This Row],[‫مارس‬‏]]:Urban[[#This Row],[‫ینایر‬‏]]),"")</f>
        <v>2425.6666666666665</v>
      </c>
    </row>
    <row r="40" spans="1:22" x14ac:dyDescent="0.35">
      <c r="A40" s="1">
        <v>27</v>
      </c>
      <c r="B40" s="1">
        <v>1438</v>
      </c>
      <c r="C40" s="1">
        <v>1476</v>
      </c>
      <c r="D40" s="1">
        <v>1789</v>
      </c>
      <c r="E40" s="1">
        <v>1935</v>
      </c>
      <c r="F40" s="1">
        <v>2082</v>
      </c>
      <c r="G40" s="1">
        <v>2062</v>
      </c>
      <c r="H40" s="1">
        <v>1664</v>
      </c>
      <c r="I40" s="1">
        <v>1303</v>
      </c>
      <c r="J40" s="1">
        <v>1221</v>
      </c>
      <c r="K40" s="1">
        <v>1097</v>
      </c>
      <c r="L40" s="1">
        <v>1114</v>
      </c>
      <c r="M40" s="1">
        <v>1119</v>
      </c>
      <c r="N40" s="1">
        <v>1109</v>
      </c>
      <c r="O40" s="1">
        <v>1219</v>
      </c>
      <c r="P40" t="s">
        <v>25</v>
      </c>
      <c r="Q40" t="s">
        <v>266</v>
      </c>
      <c r="R40" s="1" t="s">
        <v>228</v>
      </c>
      <c r="S40" s="1">
        <f>IFERROR(AVERAGE(Urban[[#This Row],[‫دیسمبر‬‏]]:Urban[[#This Row],[‫اكتوبر‬‏]]),"")</f>
        <v>1935.3333333333333</v>
      </c>
      <c r="T40" s="1">
        <f>IFERROR(AVERAGE(Urban[[#This Row],[‫سبتمبر‬‏]]:Urban[[#This Row],[‫یولیو‬‏]]),"")</f>
        <v>1676.3333333333333</v>
      </c>
      <c r="U40" s="1">
        <f>IFERROR(AVERAGE(Urban[[#This Row],[‫یونیو‬‏]]:Urban[[#This Row],[‫ابریل‬‏]]),"")</f>
        <v>1144</v>
      </c>
      <c r="V40" s="1">
        <f>IFERROR(AVERAGE(Urban[[#This Row],[‫مارس‬‏]]:Urban[[#This Row],[‫ینایر‬‏]]),"")</f>
        <v>1149</v>
      </c>
    </row>
    <row r="41" spans="1:22" x14ac:dyDescent="0.35">
      <c r="A41" s="1">
        <v>125</v>
      </c>
      <c r="B41" s="1">
        <v>2288</v>
      </c>
      <c r="C41" s="1">
        <v>2573</v>
      </c>
      <c r="D41" s="1">
        <v>2637</v>
      </c>
      <c r="E41" s="1">
        <v>2898</v>
      </c>
      <c r="F41" s="1"/>
      <c r="G41" s="1"/>
      <c r="H41" s="1"/>
      <c r="I41" s="1"/>
      <c r="J41" s="1"/>
      <c r="K41" s="1"/>
      <c r="L41" s="1">
        <v>2501</v>
      </c>
      <c r="M41" s="1">
        <v>2455</v>
      </c>
      <c r="N41" s="1">
        <v>2378</v>
      </c>
      <c r="O41" s="1">
        <v>2571</v>
      </c>
      <c r="P41" t="s">
        <v>267</v>
      </c>
      <c r="Q41" t="s">
        <v>268</v>
      </c>
      <c r="R41" s="1" t="s">
        <v>228</v>
      </c>
      <c r="S41" s="1">
        <f>IFERROR(AVERAGE(Urban[[#This Row],[‫دیسمبر‬‏]]:Urban[[#This Row],[‫اكتوبر‬‏]]),"")</f>
        <v>2767.5</v>
      </c>
      <c r="T41" s="1" t="str">
        <f>IFERROR(AVERAGE(Urban[[#This Row],[‫سبتمبر‬‏]]:Urban[[#This Row],[‫یولیو‬‏]]),"")</f>
        <v/>
      </c>
      <c r="U41" s="1">
        <f>IFERROR(AVERAGE(Urban[[#This Row],[‫یونیو‬‏]]:Urban[[#This Row],[‫ابریل‬‏]]),"")</f>
        <v>2501</v>
      </c>
      <c r="V41" s="1">
        <f>IFERROR(AVERAGE(Urban[[#This Row],[‫مارس‬‏]]:Urban[[#This Row],[‫ینایر‬‏]]),"")</f>
        <v>2468</v>
      </c>
    </row>
    <row r="42" spans="1:22" x14ac:dyDescent="0.35">
      <c r="A42" s="1">
        <v>234</v>
      </c>
      <c r="B42" s="1">
        <v>5059</v>
      </c>
      <c r="C42" s="1">
        <v>6243</v>
      </c>
      <c r="D42" s="1"/>
      <c r="E42" s="1"/>
      <c r="F42" s="1"/>
      <c r="G42" s="1"/>
      <c r="H42" s="1">
        <v>6791</v>
      </c>
      <c r="I42" s="1">
        <v>6141</v>
      </c>
      <c r="J42" s="1">
        <v>5987</v>
      </c>
      <c r="K42" s="1">
        <v>6054</v>
      </c>
      <c r="L42" s="1"/>
      <c r="M42" s="1"/>
      <c r="N42" s="1"/>
      <c r="O42" s="1"/>
      <c r="P42" t="s">
        <v>25</v>
      </c>
      <c r="Q42" t="s">
        <v>269</v>
      </c>
      <c r="R42" s="1" t="s">
        <v>228</v>
      </c>
      <c r="S42" s="1" t="str">
        <f>IFERROR(AVERAGE(Urban[[#This Row],[‫دیسمبر‬‏]]:Urban[[#This Row],[‫اكتوبر‬‏]]),"")</f>
        <v/>
      </c>
      <c r="T42" s="1">
        <f>IFERROR(AVERAGE(Urban[[#This Row],[‫سبتمبر‬‏]]:Urban[[#This Row],[‫یولیو‬‏]]),"")</f>
        <v>6466</v>
      </c>
      <c r="U42" s="1">
        <f>IFERROR(AVERAGE(Urban[[#This Row],[‫یونیو‬‏]]:Urban[[#This Row],[‫ابریل‬‏]]),"")</f>
        <v>6020.5</v>
      </c>
      <c r="V42" s="1" t="str">
        <f>IFERROR(AVERAGE(Urban[[#This Row],[‫مارس‬‏]]:Urban[[#This Row],[‫ینایر‬‏]]),"")</f>
        <v/>
      </c>
    </row>
    <row r="43" spans="1:22" x14ac:dyDescent="0.35">
      <c r="A43" s="1">
        <v>188</v>
      </c>
      <c r="B43" s="1">
        <v>1339</v>
      </c>
      <c r="C43" s="1">
        <v>1590</v>
      </c>
      <c r="D43" s="1">
        <v>1614</v>
      </c>
      <c r="E43" s="1">
        <v>1709</v>
      </c>
      <c r="F43" s="1">
        <v>1678</v>
      </c>
      <c r="G43" s="1">
        <v>1687</v>
      </c>
      <c r="H43" s="1">
        <v>1623</v>
      </c>
      <c r="I43" s="1">
        <v>1550</v>
      </c>
      <c r="J43" s="1">
        <v>1534</v>
      </c>
      <c r="K43" s="1">
        <v>1522</v>
      </c>
      <c r="L43" s="1">
        <v>1538</v>
      </c>
      <c r="M43" s="1">
        <v>1555</v>
      </c>
      <c r="N43" s="1">
        <v>1526</v>
      </c>
      <c r="O43" s="1">
        <v>1543</v>
      </c>
      <c r="P43" t="s">
        <v>267</v>
      </c>
      <c r="Q43" t="s">
        <v>270</v>
      </c>
      <c r="R43" s="1" t="s">
        <v>228</v>
      </c>
      <c r="S43" s="1">
        <f>IFERROR(AVERAGE(Urban[[#This Row],[‫دیسمبر‬‏]]:Urban[[#This Row],[‫اكتوبر‬‏]]),"")</f>
        <v>1667</v>
      </c>
      <c r="T43" s="1">
        <f>IFERROR(AVERAGE(Urban[[#This Row],[‫سبتمبر‬‏]]:Urban[[#This Row],[‫یولیو‬‏]]),"")</f>
        <v>1620</v>
      </c>
      <c r="U43" s="1">
        <f>IFERROR(AVERAGE(Urban[[#This Row],[‫یونیو‬‏]]:Urban[[#This Row],[‫ابریل‬‏]]),"")</f>
        <v>1531.3333333333333</v>
      </c>
      <c r="V43" s="1">
        <f>IFERROR(AVERAGE(Urban[[#This Row],[‫مارس‬‏]]:Urban[[#This Row],[‫ینایر‬‏]]),"")</f>
        <v>1541.3333333333333</v>
      </c>
    </row>
    <row r="44" spans="1:22" x14ac:dyDescent="0.35">
      <c r="A44" s="1">
        <v>133</v>
      </c>
      <c r="B44" s="1">
        <v>1953</v>
      </c>
      <c r="C44" s="1">
        <v>2213</v>
      </c>
      <c r="D44" s="1">
        <v>2377</v>
      </c>
      <c r="E44" s="1">
        <v>1951</v>
      </c>
      <c r="F44" s="1">
        <v>2702</v>
      </c>
      <c r="G44" s="1">
        <v>2083</v>
      </c>
      <c r="H44" s="1"/>
      <c r="I44" s="1"/>
      <c r="J44" s="1"/>
      <c r="K44" s="1"/>
      <c r="L44" s="1">
        <v>2088</v>
      </c>
      <c r="M44" s="1">
        <v>2124</v>
      </c>
      <c r="N44" s="1">
        <v>2165</v>
      </c>
      <c r="O44" s="1">
        <v>2216</v>
      </c>
      <c r="P44" t="s">
        <v>25</v>
      </c>
      <c r="Q44" t="s">
        <v>271</v>
      </c>
      <c r="R44" s="1" t="s">
        <v>228</v>
      </c>
      <c r="S44" s="1">
        <f>IFERROR(AVERAGE(Urban[[#This Row],[‫دیسمبر‬‏]]:Urban[[#This Row],[‫اكتوبر‬‏]]),"")</f>
        <v>2343.3333333333335</v>
      </c>
      <c r="T44" s="1">
        <f>IFERROR(AVERAGE(Urban[[#This Row],[‫سبتمبر‬‏]]:Urban[[#This Row],[‫یولیو‬‏]]),"")</f>
        <v>2083</v>
      </c>
      <c r="U44" s="1">
        <f>IFERROR(AVERAGE(Urban[[#This Row],[‫یونیو‬‏]]:Urban[[#This Row],[‫ابریل‬‏]]),"")</f>
        <v>2088</v>
      </c>
      <c r="V44" s="1">
        <f>IFERROR(AVERAGE(Urban[[#This Row],[‫مارس‬‏]]:Urban[[#This Row],[‫ینایر‬‏]]),"")</f>
        <v>2168.3333333333335</v>
      </c>
    </row>
    <row r="45" spans="1:22" x14ac:dyDescent="0.35">
      <c r="A45" s="1">
        <v>112</v>
      </c>
      <c r="B45" s="1">
        <v>1132</v>
      </c>
      <c r="C45" s="1">
        <v>1258</v>
      </c>
      <c r="D45" s="1">
        <v>1212</v>
      </c>
      <c r="E45" s="1">
        <v>1194</v>
      </c>
      <c r="F45" s="1">
        <v>1275</v>
      </c>
      <c r="G45" s="1">
        <v>1362</v>
      </c>
      <c r="H45" s="1">
        <v>1401</v>
      </c>
      <c r="I45" s="1">
        <v>1449</v>
      </c>
      <c r="J45" s="1"/>
      <c r="K45" s="1"/>
      <c r="L45" s="1">
        <v>1256</v>
      </c>
      <c r="M45" s="1">
        <v>1224</v>
      </c>
      <c r="N45" s="1">
        <v>1106</v>
      </c>
      <c r="O45" s="1">
        <v>1097</v>
      </c>
      <c r="P45" t="s">
        <v>25</v>
      </c>
      <c r="Q45" t="s">
        <v>272</v>
      </c>
      <c r="R45" s="1" t="s">
        <v>228</v>
      </c>
      <c r="S45" s="1">
        <f>IFERROR(AVERAGE(Urban[[#This Row],[‫دیسمبر‬‏]]:Urban[[#This Row],[‫اكتوبر‬‏]]),"")</f>
        <v>1227</v>
      </c>
      <c r="T45" s="1">
        <f>IFERROR(AVERAGE(Urban[[#This Row],[‫سبتمبر‬‏]]:Urban[[#This Row],[‫یولیو‬‏]]),"")</f>
        <v>1404</v>
      </c>
      <c r="U45" s="1">
        <f>IFERROR(AVERAGE(Urban[[#This Row],[‫یونیو‬‏]]:Urban[[#This Row],[‫ابریل‬‏]]),"")</f>
        <v>1256</v>
      </c>
      <c r="V45" s="1">
        <f>IFERROR(AVERAGE(Urban[[#This Row],[‫مارس‬‏]]:Urban[[#This Row],[‫ینایر‬‏]]),"")</f>
        <v>1142.3333333333333</v>
      </c>
    </row>
    <row r="46" spans="1:22" x14ac:dyDescent="0.35">
      <c r="A46" s="1">
        <v>104</v>
      </c>
      <c r="B46" s="1">
        <v>265</v>
      </c>
      <c r="C46" s="1">
        <v>292</v>
      </c>
      <c r="D46" s="1">
        <v>295</v>
      </c>
      <c r="E46" s="1">
        <v>303</v>
      </c>
      <c r="F46" s="1">
        <v>303</v>
      </c>
      <c r="G46" s="1">
        <v>304</v>
      </c>
      <c r="H46" s="1">
        <v>288</v>
      </c>
      <c r="I46" s="1">
        <v>289</v>
      </c>
      <c r="J46" s="1">
        <v>291</v>
      </c>
      <c r="K46" s="1">
        <v>288</v>
      </c>
      <c r="L46" s="1">
        <v>286</v>
      </c>
      <c r="M46" s="1">
        <v>284</v>
      </c>
      <c r="N46" s="1">
        <v>285</v>
      </c>
      <c r="O46" s="1">
        <v>291</v>
      </c>
      <c r="P46" t="s">
        <v>273</v>
      </c>
      <c r="Q46" t="s">
        <v>274</v>
      </c>
      <c r="R46" s="1" t="s">
        <v>228</v>
      </c>
      <c r="S46" s="1">
        <f>IFERROR(AVERAGE(Urban[[#This Row],[‫دیسمبر‬‏]]:Urban[[#This Row],[‫اكتوبر‬‏]]),"")</f>
        <v>300.33333333333331</v>
      </c>
      <c r="T46" s="1">
        <f>IFERROR(AVERAGE(Urban[[#This Row],[‫سبتمبر‬‏]]:Urban[[#This Row],[‫یولیو‬‏]]),"")</f>
        <v>293.66666666666669</v>
      </c>
      <c r="U46" s="1">
        <f>IFERROR(AVERAGE(Urban[[#This Row],[‫یونیو‬‏]]:Urban[[#This Row],[‫ابریل‬‏]]),"")</f>
        <v>288.33333333333331</v>
      </c>
      <c r="V46" s="1">
        <f>IFERROR(AVERAGE(Urban[[#This Row],[‫مارس‬‏]]:Urban[[#This Row],[‫ینایر‬‏]]),"")</f>
        <v>286.66666666666669</v>
      </c>
    </row>
    <row r="47" spans="1:22" x14ac:dyDescent="0.35">
      <c r="A47" s="1">
        <v>102</v>
      </c>
      <c r="B47" s="1">
        <v>236</v>
      </c>
      <c r="C47" s="1">
        <v>260</v>
      </c>
      <c r="D47" s="1">
        <v>264</v>
      </c>
      <c r="E47" s="1">
        <v>272</v>
      </c>
      <c r="F47" s="1">
        <v>271</v>
      </c>
      <c r="G47" s="1">
        <v>270</v>
      </c>
      <c r="H47" s="1">
        <v>257</v>
      </c>
      <c r="I47" s="1">
        <v>256</v>
      </c>
      <c r="J47" s="1">
        <v>254</v>
      </c>
      <c r="K47" s="1">
        <v>252</v>
      </c>
      <c r="L47" s="1">
        <v>254</v>
      </c>
      <c r="M47" s="1">
        <v>254</v>
      </c>
      <c r="N47" s="1">
        <v>255</v>
      </c>
      <c r="O47" s="1">
        <v>259</v>
      </c>
      <c r="P47" t="s">
        <v>273</v>
      </c>
      <c r="Q47" t="s">
        <v>275</v>
      </c>
      <c r="R47" s="1" t="s">
        <v>228</v>
      </c>
      <c r="S47" s="1">
        <f>IFERROR(AVERAGE(Urban[[#This Row],[‫دیسمبر‬‏]]:Urban[[#This Row],[‫اكتوبر‬‏]]),"")</f>
        <v>269</v>
      </c>
      <c r="T47" s="1">
        <f>IFERROR(AVERAGE(Urban[[#This Row],[‫سبتمبر‬‏]]:Urban[[#This Row],[‫یولیو‬‏]]),"")</f>
        <v>261</v>
      </c>
      <c r="U47" s="1">
        <f>IFERROR(AVERAGE(Urban[[#This Row],[‫یونیو‬‏]]:Urban[[#This Row],[‫ابریل‬‏]]),"")</f>
        <v>253.33333333333334</v>
      </c>
      <c r="V47" s="1">
        <f>IFERROR(AVERAGE(Urban[[#This Row],[‫مارس‬‏]]:Urban[[#This Row],[‫ینایر‬‏]]),"")</f>
        <v>256</v>
      </c>
    </row>
    <row r="48" spans="1:22" x14ac:dyDescent="0.35">
      <c r="A48" s="1">
        <v>103</v>
      </c>
      <c r="B48" s="1">
        <v>4814</v>
      </c>
      <c r="C48" s="1">
        <v>5311</v>
      </c>
      <c r="D48" s="1">
        <v>5549</v>
      </c>
      <c r="E48" s="1">
        <v>5469</v>
      </c>
      <c r="F48" s="1">
        <v>5898</v>
      </c>
      <c r="G48" s="1">
        <v>5361</v>
      </c>
      <c r="H48" s="1">
        <v>4546</v>
      </c>
      <c r="I48" s="1">
        <v>4642</v>
      </c>
      <c r="J48" s="1">
        <v>5712</v>
      </c>
      <c r="K48" s="1"/>
      <c r="L48" s="1"/>
      <c r="M48" s="1"/>
      <c r="N48" s="1"/>
      <c r="O48" s="1"/>
      <c r="P48" t="s">
        <v>25</v>
      </c>
      <c r="Q48" t="s">
        <v>276</v>
      </c>
      <c r="R48" s="1" t="s">
        <v>228</v>
      </c>
      <c r="S48" s="1">
        <f>IFERROR(AVERAGE(Urban[[#This Row],[‫دیسمبر‬‏]]:Urban[[#This Row],[‫اكتوبر‬‏]]),"")</f>
        <v>5638.666666666667</v>
      </c>
      <c r="T48" s="1">
        <f>IFERROR(AVERAGE(Urban[[#This Row],[‫سبتمبر‬‏]]:Urban[[#This Row],[‫یولیو‬‏]]),"")</f>
        <v>4849.666666666667</v>
      </c>
      <c r="U48" s="1">
        <f>IFERROR(AVERAGE(Urban[[#This Row],[‫یونیو‬‏]]:Urban[[#This Row],[‫ابریل‬‏]]),"")</f>
        <v>5712</v>
      </c>
      <c r="V48" s="1" t="str">
        <f>IFERROR(AVERAGE(Urban[[#This Row],[‫مارس‬‏]]:Urban[[#This Row],[‫ینایر‬‏]]),"")</f>
        <v/>
      </c>
    </row>
    <row r="49" spans="1:22" x14ac:dyDescent="0.35">
      <c r="A49" s="1">
        <v>190</v>
      </c>
      <c r="B49" s="1">
        <v>1416</v>
      </c>
      <c r="C49" s="1">
        <v>1684</v>
      </c>
      <c r="D49" s="1">
        <v>1850</v>
      </c>
      <c r="E49" s="1">
        <v>1550</v>
      </c>
      <c r="F49" s="1">
        <v>1460</v>
      </c>
      <c r="G49" s="1">
        <v>1477</v>
      </c>
      <c r="H49" s="1">
        <v>1477</v>
      </c>
      <c r="I49" s="1">
        <v>1570</v>
      </c>
      <c r="J49" s="1">
        <v>1857</v>
      </c>
      <c r="K49" s="1">
        <v>2232</v>
      </c>
      <c r="L49" s="1"/>
      <c r="M49" s="1"/>
      <c r="N49" s="1"/>
      <c r="O49" s="1"/>
      <c r="P49" t="s">
        <v>25</v>
      </c>
      <c r="Q49" t="s">
        <v>277</v>
      </c>
      <c r="R49" s="1" t="s">
        <v>228</v>
      </c>
      <c r="S49" s="1">
        <f>IFERROR(AVERAGE(Urban[[#This Row],[‫دیسمبر‬‏]]:Urban[[#This Row],[‫اكتوبر‬‏]]),"")</f>
        <v>1620</v>
      </c>
      <c r="T49" s="1">
        <f>IFERROR(AVERAGE(Urban[[#This Row],[‫سبتمبر‬‏]]:Urban[[#This Row],[‫یولیو‬‏]]),"")</f>
        <v>1508</v>
      </c>
      <c r="U49" s="1">
        <f>IFERROR(AVERAGE(Urban[[#This Row],[‫یونیو‬‏]]:Urban[[#This Row],[‫ابریل‬‏]]),"")</f>
        <v>2044.5</v>
      </c>
      <c r="V49" s="1" t="str">
        <f>IFERROR(AVERAGE(Urban[[#This Row],[‫مارس‬‏]]:Urban[[#This Row],[‫ینایر‬‏]]),"")</f>
        <v/>
      </c>
    </row>
    <row r="50" spans="1:22" x14ac:dyDescent="0.35">
      <c r="A50" s="1">
        <v>53</v>
      </c>
      <c r="B50" s="1">
        <v>1455</v>
      </c>
      <c r="C50" s="1">
        <v>1532</v>
      </c>
      <c r="D50" s="1">
        <v>1565</v>
      </c>
      <c r="E50" s="1">
        <v>1539</v>
      </c>
      <c r="F50" s="1">
        <v>1599</v>
      </c>
      <c r="G50" s="1">
        <v>1457</v>
      </c>
      <c r="H50" s="1">
        <v>1331</v>
      </c>
      <c r="I50" s="1">
        <v>1328</v>
      </c>
      <c r="J50" s="1">
        <v>1708</v>
      </c>
      <c r="K50" s="1">
        <v>1728</v>
      </c>
      <c r="L50" s="1"/>
      <c r="M50" s="1"/>
      <c r="N50" s="1"/>
      <c r="O50" s="1"/>
      <c r="P50" t="s">
        <v>25</v>
      </c>
      <c r="Q50" t="s">
        <v>278</v>
      </c>
      <c r="R50" s="1" t="s">
        <v>228</v>
      </c>
      <c r="S50" s="1">
        <f>IFERROR(AVERAGE(Urban[[#This Row],[‫دیسمبر‬‏]]:Urban[[#This Row],[‫اكتوبر‬‏]]),"")</f>
        <v>1567.6666666666667</v>
      </c>
      <c r="T50" s="1">
        <f>IFERROR(AVERAGE(Urban[[#This Row],[‫سبتمبر‬‏]]:Urban[[#This Row],[‫یولیو‬‏]]),"")</f>
        <v>1372</v>
      </c>
      <c r="U50" s="1">
        <f>IFERROR(AVERAGE(Urban[[#This Row],[‫یونیو‬‏]]:Urban[[#This Row],[‫ابریل‬‏]]),"")</f>
        <v>1718</v>
      </c>
      <c r="V50" s="1" t="str">
        <f>IFERROR(AVERAGE(Urban[[#This Row],[‫مارس‬‏]]:Urban[[#This Row],[‫ینایر‬‏]]),"")</f>
        <v/>
      </c>
    </row>
    <row r="51" spans="1:22" x14ac:dyDescent="0.35">
      <c r="A51" s="1">
        <v>80</v>
      </c>
      <c r="B51" s="1">
        <v>1171</v>
      </c>
      <c r="C51" s="1">
        <v>1264</v>
      </c>
      <c r="D51" s="1">
        <v>1284</v>
      </c>
      <c r="E51" s="1">
        <v>1293</v>
      </c>
      <c r="F51" s="1">
        <v>1307</v>
      </c>
      <c r="G51" s="1">
        <v>1141</v>
      </c>
      <c r="H51" s="1">
        <v>1025</v>
      </c>
      <c r="I51" s="1">
        <v>997</v>
      </c>
      <c r="J51" s="1">
        <v>1274</v>
      </c>
      <c r="K51" s="1">
        <v>1376</v>
      </c>
      <c r="L51" s="1">
        <v>1437</v>
      </c>
      <c r="M51" s="1">
        <v>1508</v>
      </c>
      <c r="N51" s="1">
        <v>1261</v>
      </c>
      <c r="O51" s="1">
        <v>1270</v>
      </c>
      <c r="P51" t="s">
        <v>25</v>
      </c>
      <c r="Q51" t="s">
        <v>279</v>
      </c>
      <c r="R51" s="1" t="s">
        <v>228</v>
      </c>
      <c r="S51" s="1">
        <f>IFERROR(AVERAGE(Urban[[#This Row],[‫دیسمبر‬‏]]:Urban[[#This Row],[‫اكتوبر‬‏]]),"")</f>
        <v>1294.6666666666667</v>
      </c>
      <c r="T51" s="1">
        <f>IFERROR(AVERAGE(Urban[[#This Row],[‫سبتمبر‬‏]]:Urban[[#This Row],[‫یولیو‬‏]]),"")</f>
        <v>1054.3333333333333</v>
      </c>
      <c r="U51" s="1">
        <f>IFERROR(AVERAGE(Urban[[#This Row],[‫یونیو‬‏]]:Urban[[#This Row],[‫ابریل‬‏]]),"")</f>
        <v>1362.3333333333333</v>
      </c>
      <c r="V51" s="1">
        <f>IFERROR(AVERAGE(Urban[[#This Row],[‫مارس‬‏]]:Urban[[#This Row],[‫ینایر‬‏]]),"")</f>
        <v>1346.3333333333333</v>
      </c>
    </row>
    <row r="52" spans="1:22" x14ac:dyDescent="0.35">
      <c r="A52" s="1">
        <v>115</v>
      </c>
      <c r="B52" s="1">
        <v>1902</v>
      </c>
      <c r="C52" s="1">
        <v>2121</v>
      </c>
      <c r="D52" s="1">
        <v>2087</v>
      </c>
      <c r="E52" s="1">
        <v>2085</v>
      </c>
      <c r="F52" s="1">
        <v>2164</v>
      </c>
      <c r="G52" s="1">
        <v>1931</v>
      </c>
      <c r="H52" s="1">
        <v>1718</v>
      </c>
      <c r="I52" s="1">
        <v>1665</v>
      </c>
      <c r="J52" s="1">
        <v>1967</v>
      </c>
      <c r="K52" s="1">
        <v>2073</v>
      </c>
      <c r="L52" s="1">
        <v>2482</v>
      </c>
      <c r="M52" s="1">
        <v>2681</v>
      </c>
      <c r="N52" s="1">
        <v>2247</v>
      </c>
      <c r="O52" s="1">
        <v>2354</v>
      </c>
      <c r="P52" t="s">
        <v>25</v>
      </c>
      <c r="Q52" t="s">
        <v>280</v>
      </c>
      <c r="R52" s="1" t="s">
        <v>228</v>
      </c>
      <c r="S52" s="1">
        <f>IFERROR(AVERAGE(Urban[[#This Row],[‫دیسمبر‬‏]]:Urban[[#This Row],[‫اكتوبر‬‏]]),"")</f>
        <v>2112</v>
      </c>
      <c r="T52" s="1">
        <f>IFERROR(AVERAGE(Urban[[#This Row],[‫سبتمبر‬‏]]:Urban[[#This Row],[‫یولیو‬‏]]),"")</f>
        <v>1771.3333333333333</v>
      </c>
      <c r="U52" s="1">
        <f>IFERROR(AVERAGE(Urban[[#This Row],[‫یونیو‬‏]]:Urban[[#This Row],[‫ابریل‬‏]]),"")</f>
        <v>2174</v>
      </c>
      <c r="V52" s="1">
        <f>IFERROR(AVERAGE(Urban[[#This Row],[‫مارس‬‏]]:Urban[[#This Row],[‫ینایر‬‏]]),"")</f>
        <v>2427.3333333333335</v>
      </c>
    </row>
    <row r="53" spans="1:22" x14ac:dyDescent="0.35">
      <c r="A53" s="1">
        <v>134</v>
      </c>
      <c r="B53" s="1">
        <v>3803</v>
      </c>
      <c r="C53" s="1">
        <v>4313</v>
      </c>
      <c r="D53" s="1">
        <v>4023</v>
      </c>
      <c r="E53" s="1">
        <v>4138</v>
      </c>
      <c r="F53" s="1">
        <v>4229</v>
      </c>
      <c r="G53" s="1">
        <v>3716</v>
      </c>
      <c r="H53" s="1">
        <v>3579</v>
      </c>
      <c r="I53" s="1">
        <v>3688</v>
      </c>
      <c r="J53" s="1">
        <v>4422</v>
      </c>
      <c r="K53" s="1">
        <v>4823</v>
      </c>
      <c r="L53" s="1">
        <v>4890</v>
      </c>
      <c r="M53" s="1">
        <v>4936</v>
      </c>
      <c r="N53" s="1">
        <v>4559</v>
      </c>
      <c r="O53" s="1">
        <v>4756</v>
      </c>
      <c r="P53" t="s">
        <v>25</v>
      </c>
      <c r="Q53" t="s">
        <v>281</v>
      </c>
      <c r="R53" s="1" t="s">
        <v>228</v>
      </c>
      <c r="S53" s="1">
        <f>IFERROR(AVERAGE(Urban[[#This Row],[‫دیسمبر‬‏]]:Urban[[#This Row],[‫اكتوبر‬‏]]),"")</f>
        <v>4130</v>
      </c>
      <c r="T53" s="1">
        <f>IFERROR(AVERAGE(Urban[[#This Row],[‫سبتمبر‬‏]]:Urban[[#This Row],[‫یولیو‬‏]]),"")</f>
        <v>3661</v>
      </c>
      <c r="U53" s="1">
        <f>IFERROR(AVERAGE(Urban[[#This Row],[‫یونیو‬‏]]:Urban[[#This Row],[‫ابریل‬‏]]),"")</f>
        <v>4711.666666666667</v>
      </c>
      <c r="V53" s="1">
        <f>IFERROR(AVERAGE(Urban[[#This Row],[‫مارس‬‏]]:Urban[[#This Row],[‫ینایر‬‏]]),"")</f>
        <v>4750.333333333333</v>
      </c>
    </row>
    <row r="54" spans="1:22" x14ac:dyDescent="0.35">
      <c r="A54" s="1">
        <v>-25</v>
      </c>
      <c r="B54" s="1">
        <v>2615</v>
      </c>
      <c r="C54" s="1">
        <v>2551</v>
      </c>
      <c r="D54" s="1">
        <v>2349</v>
      </c>
      <c r="E54" s="1">
        <v>2817</v>
      </c>
      <c r="F54" s="1">
        <v>3454</v>
      </c>
      <c r="G54" s="1">
        <v>3347</v>
      </c>
      <c r="H54" s="1">
        <v>2866</v>
      </c>
      <c r="I54" s="1">
        <v>2324</v>
      </c>
      <c r="J54" s="1">
        <v>2052</v>
      </c>
      <c r="K54" s="1">
        <v>2292</v>
      </c>
      <c r="L54" s="1">
        <v>2470</v>
      </c>
      <c r="M54" s="1">
        <v>2543</v>
      </c>
      <c r="N54" s="1">
        <v>2087</v>
      </c>
      <c r="O54" s="1">
        <v>2013</v>
      </c>
      <c r="P54" t="s">
        <v>25</v>
      </c>
      <c r="Q54" t="s">
        <v>282</v>
      </c>
      <c r="R54" s="1" t="s">
        <v>228</v>
      </c>
      <c r="S54" s="1">
        <f>IFERROR(AVERAGE(Urban[[#This Row],[‫دیسمبر‬‏]]:Urban[[#This Row],[‫اكتوبر‬‏]]),"")</f>
        <v>2873.3333333333335</v>
      </c>
      <c r="T54" s="1">
        <f>IFERROR(AVERAGE(Urban[[#This Row],[‫سبتمبر‬‏]]:Urban[[#This Row],[‫یولیو‬‏]]),"")</f>
        <v>2845.6666666666665</v>
      </c>
      <c r="U54" s="1">
        <f>IFERROR(AVERAGE(Urban[[#This Row],[‫یونیو‬‏]]:Urban[[#This Row],[‫ابریل‬‏]]),"")</f>
        <v>2271.3333333333335</v>
      </c>
      <c r="V54" s="1">
        <f>IFERROR(AVERAGE(Urban[[#This Row],[‫مارس‬‏]]:Urban[[#This Row],[‫ینایر‬‏]]),"")</f>
        <v>2214.3333333333335</v>
      </c>
    </row>
    <row r="55" spans="1:22" x14ac:dyDescent="0.35">
      <c r="A55" s="1">
        <v>114</v>
      </c>
      <c r="B55" s="1">
        <v>1726</v>
      </c>
      <c r="C55" s="1">
        <v>1924</v>
      </c>
      <c r="D55" s="1">
        <v>2200</v>
      </c>
      <c r="E55" s="1">
        <v>1687</v>
      </c>
      <c r="F55" s="1">
        <v>2097</v>
      </c>
      <c r="G55" s="1">
        <v>2224</v>
      </c>
      <c r="H55" s="1">
        <v>1992</v>
      </c>
      <c r="I55" s="1">
        <v>1655</v>
      </c>
      <c r="J55" s="1">
        <v>1616</v>
      </c>
      <c r="K55" s="1">
        <v>1668</v>
      </c>
      <c r="L55" s="1">
        <v>1931</v>
      </c>
      <c r="M55" s="1">
        <v>2208</v>
      </c>
      <c r="N55" s="1">
        <v>1777</v>
      </c>
      <c r="O55" s="1">
        <v>2025</v>
      </c>
      <c r="P55" t="s">
        <v>25</v>
      </c>
      <c r="Q55" t="s">
        <v>283</v>
      </c>
      <c r="R55" s="1" t="s">
        <v>228</v>
      </c>
      <c r="S55" s="1">
        <f>IFERROR(AVERAGE(Urban[[#This Row],[‫دیسمبر‬‏]]:Urban[[#This Row],[‫اكتوبر‬‏]]),"")</f>
        <v>1994.6666666666667</v>
      </c>
      <c r="T55" s="1">
        <f>IFERROR(AVERAGE(Urban[[#This Row],[‫سبتمبر‬‏]]:Urban[[#This Row],[‫یولیو‬‏]]),"")</f>
        <v>1957</v>
      </c>
      <c r="U55" s="1">
        <f>IFERROR(AVERAGE(Urban[[#This Row],[‫یونیو‬‏]]:Urban[[#This Row],[‫ابریل‬‏]]),"")</f>
        <v>1738.3333333333333</v>
      </c>
      <c r="V55" s="1">
        <f>IFERROR(AVERAGE(Urban[[#This Row],[‫مارس‬‏]]:Urban[[#This Row],[‫ینایر‬‏]]),"")</f>
        <v>2003.3333333333333</v>
      </c>
    </row>
    <row r="56" spans="1:22" x14ac:dyDescent="0.35">
      <c r="A56" s="1">
        <v>113</v>
      </c>
      <c r="B56" s="1">
        <v>1814</v>
      </c>
      <c r="C56" s="1">
        <v>2018</v>
      </c>
      <c r="D56" s="1">
        <v>2288</v>
      </c>
      <c r="E56" s="1">
        <v>1820</v>
      </c>
      <c r="F56" s="1">
        <v>2176</v>
      </c>
      <c r="G56" s="1">
        <v>2362</v>
      </c>
      <c r="H56" s="1">
        <v>2072</v>
      </c>
      <c r="I56" s="1">
        <v>1731</v>
      </c>
      <c r="J56" s="1">
        <v>1706</v>
      </c>
      <c r="K56" s="1">
        <v>1770</v>
      </c>
      <c r="L56" s="1">
        <v>2049</v>
      </c>
      <c r="M56" s="1">
        <v>2304</v>
      </c>
      <c r="N56" s="1">
        <v>1841</v>
      </c>
      <c r="O56" s="1">
        <v>2101</v>
      </c>
      <c r="P56" t="s">
        <v>25</v>
      </c>
      <c r="Q56" t="s">
        <v>284</v>
      </c>
      <c r="R56" s="1" t="s">
        <v>228</v>
      </c>
      <c r="S56" s="1">
        <f>IFERROR(AVERAGE(Urban[[#This Row],[‫دیسمبر‬‏]]:Urban[[#This Row],[‫اكتوبر‬‏]]),"")</f>
        <v>2094.6666666666665</v>
      </c>
      <c r="T56" s="1">
        <f>IFERROR(AVERAGE(Urban[[#This Row],[‫سبتمبر‬‏]]:Urban[[#This Row],[‫یولیو‬‏]]),"")</f>
        <v>2055</v>
      </c>
      <c r="U56" s="1">
        <f>IFERROR(AVERAGE(Urban[[#This Row],[‫یونیو‬‏]]:Urban[[#This Row],[‫ابریل‬‏]]),"")</f>
        <v>1841.6666666666667</v>
      </c>
      <c r="V56" s="1">
        <f>IFERROR(AVERAGE(Urban[[#This Row],[‫مارس‬‏]]:Urban[[#This Row],[‫ینایر‬‏]]),"")</f>
        <v>2082</v>
      </c>
    </row>
    <row r="57" spans="1:22" x14ac:dyDescent="0.35">
      <c r="A57" s="1">
        <v>76</v>
      </c>
      <c r="B57" s="1">
        <v>6138</v>
      </c>
      <c r="C57" s="1">
        <v>6604</v>
      </c>
      <c r="D57" s="1">
        <v>6387</v>
      </c>
      <c r="E57" s="1">
        <v>6583</v>
      </c>
      <c r="F57" s="1">
        <v>7261</v>
      </c>
      <c r="G57" s="1">
        <v>7022</v>
      </c>
      <c r="H57" s="1">
        <v>5767</v>
      </c>
      <c r="I57" s="1"/>
      <c r="J57" s="1"/>
      <c r="K57" s="1"/>
      <c r="L57" s="1"/>
      <c r="M57" s="1"/>
      <c r="N57" s="1"/>
      <c r="O57" s="1"/>
      <c r="P57" t="s">
        <v>25</v>
      </c>
      <c r="Q57" t="s">
        <v>285</v>
      </c>
      <c r="R57" s="1" t="s">
        <v>228</v>
      </c>
      <c r="S57" s="1">
        <f>IFERROR(AVERAGE(Urban[[#This Row],[‫دیسمبر‬‏]]:Urban[[#This Row],[‫اكتوبر‬‏]]),"")</f>
        <v>6743.666666666667</v>
      </c>
      <c r="T57" s="1">
        <f>IFERROR(AVERAGE(Urban[[#This Row],[‫سبتمبر‬‏]]:Urban[[#This Row],[‫یولیو‬‏]]),"")</f>
        <v>6394.5</v>
      </c>
      <c r="U57" s="1" t="str">
        <f>IFERROR(AVERAGE(Urban[[#This Row],[‫یونیو‬‏]]:Urban[[#This Row],[‫ابریل‬‏]]),"")</f>
        <v/>
      </c>
      <c r="V57" s="1" t="str">
        <f>IFERROR(AVERAGE(Urban[[#This Row],[‫مارس‬‏]]:Urban[[#This Row],[‫ینایر‬‏]]),"")</f>
        <v/>
      </c>
    </row>
    <row r="58" spans="1:22" x14ac:dyDescent="0.35">
      <c r="A58" s="1">
        <v>70</v>
      </c>
      <c r="B58" s="1">
        <v>5411</v>
      </c>
      <c r="C58" s="1">
        <v>5790</v>
      </c>
      <c r="D58" s="1">
        <v>5628</v>
      </c>
      <c r="E58" s="1">
        <v>5799</v>
      </c>
      <c r="F58" s="1">
        <v>6364</v>
      </c>
      <c r="G58" s="1">
        <v>6161</v>
      </c>
      <c r="H58" s="1">
        <v>5000</v>
      </c>
      <c r="I58" s="1"/>
      <c r="J58" s="1"/>
      <c r="K58" s="1"/>
      <c r="L58" s="1"/>
      <c r="M58" s="1"/>
      <c r="N58" s="1"/>
      <c r="O58" s="1"/>
      <c r="P58" t="s">
        <v>25</v>
      </c>
      <c r="Q58" t="s">
        <v>286</v>
      </c>
      <c r="R58" s="1" t="s">
        <v>228</v>
      </c>
      <c r="S58" s="1">
        <f>IFERROR(AVERAGE(Urban[[#This Row],[‫دیسمبر‬‏]]:Urban[[#This Row],[‫اكتوبر‬‏]]),"")</f>
        <v>5930.333333333333</v>
      </c>
      <c r="T58" s="1">
        <f>IFERROR(AVERAGE(Urban[[#This Row],[‫سبتمبر‬‏]]:Urban[[#This Row],[‫یولیو‬‏]]),"")</f>
        <v>5580.5</v>
      </c>
      <c r="U58" s="1" t="str">
        <f>IFERROR(AVERAGE(Urban[[#This Row],[‫یونیو‬‏]]:Urban[[#This Row],[‫ابریل‬‏]]),"")</f>
        <v/>
      </c>
      <c r="V58" s="1" t="str">
        <f>IFERROR(AVERAGE(Urban[[#This Row],[‫مارس‬‏]]:Urban[[#This Row],[‫ینایر‬‏]]),"")</f>
        <v/>
      </c>
    </row>
    <row r="59" spans="1:22" x14ac:dyDescent="0.35">
      <c r="A59" s="1">
        <v>638</v>
      </c>
      <c r="B59" s="1">
        <v>1522</v>
      </c>
      <c r="C59" s="1">
        <v>2494</v>
      </c>
      <c r="D59" s="1">
        <v>2337</v>
      </c>
      <c r="E59" s="1">
        <v>2772</v>
      </c>
      <c r="F59" s="1"/>
      <c r="G59" s="1"/>
      <c r="H59" s="1"/>
      <c r="I59" s="1"/>
      <c r="J59" s="1"/>
      <c r="K59" s="1"/>
      <c r="L59" s="1">
        <v>2825</v>
      </c>
      <c r="M59" s="1">
        <v>2768</v>
      </c>
      <c r="N59" s="1">
        <v>2272</v>
      </c>
      <c r="O59" s="1">
        <v>1990</v>
      </c>
      <c r="P59" t="s">
        <v>25</v>
      </c>
      <c r="Q59" t="s">
        <v>287</v>
      </c>
      <c r="R59" s="1" t="s">
        <v>228</v>
      </c>
      <c r="S59" s="1">
        <f>IFERROR(AVERAGE(Urban[[#This Row],[‫دیسمبر‬‏]]:Urban[[#This Row],[‫اكتوبر‬‏]]),"")</f>
        <v>2554.5</v>
      </c>
      <c r="T59" s="1" t="str">
        <f>IFERROR(AVERAGE(Urban[[#This Row],[‫سبتمبر‬‏]]:Urban[[#This Row],[‫یولیو‬‏]]),"")</f>
        <v/>
      </c>
      <c r="U59" s="1">
        <f>IFERROR(AVERAGE(Urban[[#This Row],[‫یونیو‬‏]]:Urban[[#This Row],[‫ابریل‬‏]]),"")</f>
        <v>2825</v>
      </c>
      <c r="V59" s="1">
        <f>IFERROR(AVERAGE(Urban[[#This Row],[‫مارس‬‏]]:Urban[[#This Row],[‫ینایر‬‏]]),"")</f>
        <v>2343.3333333333335</v>
      </c>
    </row>
    <row r="60" spans="1:22" x14ac:dyDescent="0.35">
      <c r="A60" s="1">
        <v>524</v>
      </c>
      <c r="B60" s="1">
        <v>1384</v>
      </c>
      <c r="C60" s="1">
        <v>2110</v>
      </c>
      <c r="D60" s="1">
        <v>2047</v>
      </c>
      <c r="E60" s="1">
        <v>2358</v>
      </c>
      <c r="F60" s="1"/>
      <c r="G60" s="1"/>
      <c r="H60" s="1"/>
      <c r="I60" s="1"/>
      <c r="J60" s="1"/>
      <c r="K60" s="1"/>
      <c r="L60" s="1"/>
      <c r="M60" s="1">
        <v>2394</v>
      </c>
      <c r="N60" s="1">
        <v>1966</v>
      </c>
      <c r="O60" s="1">
        <v>1783</v>
      </c>
      <c r="P60" t="s">
        <v>25</v>
      </c>
      <c r="Q60" t="s">
        <v>288</v>
      </c>
      <c r="R60" s="1" t="s">
        <v>228</v>
      </c>
      <c r="S60" s="1">
        <f>IFERROR(AVERAGE(Urban[[#This Row],[‫دیسمبر‬‏]]:Urban[[#This Row],[‫اكتوبر‬‏]]),"")</f>
        <v>2202.5</v>
      </c>
      <c r="T60" s="1" t="str">
        <f>IFERROR(AVERAGE(Urban[[#This Row],[‫سبتمبر‬‏]]:Urban[[#This Row],[‫یولیو‬‏]]),"")</f>
        <v/>
      </c>
      <c r="U60" s="1" t="str">
        <f>IFERROR(AVERAGE(Urban[[#This Row],[‫یونیو‬‏]]:Urban[[#This Row],[‫ابریل‬‏]]),"")</f>
        <v/>
      </c>
      <c r="V60" s="1">
        <f>IFERROR(AVERAGE(Urban[[#This Row],[‫مارس‬‏]]:Urban[[#This Row],[‫ینایر‬‏]]),"")</f>
        <v>2047.6666666666667</v>
      </c>
    </row>
    <row r="61" spans="1:22" x14ac:dyDescent="0.35">
      <c r="A61" s="1">
        <v>356</v>
      </c>
      <c r="B61" s="1">
        <v>2332</v>
      </c>
      <c r="C61" s="1">
        <v>3161</v>
      </c>
      <c r="D61" s="1">
        <v>3455</v>
      </c>
      <c r="E61" s="1">
        <v>3049</v>
      </c>
      <c r="F61" s="1">
        <v>3109</v>
      </c>
      <c r="G61" s="1">
        <v>3070</v>
      </c>
      <c r="H61" s="1"/>
      <c r="I61" s="1"/>
      <c r="J61" s="1"/>
      <c r="K61" s="1"/>
      <c r="L61" s="1"/>
      <c r="M61" s="1"/>
      <c r="N61" s="1">
        <v>3173</v>
      </c>
      <c r="O61" s="1">
        <v>3112</v>
      </c>
      <c r="P61" t="s">
        <v>25</v>
      </c>
      <c r="Q61" t="s">
        <v>289</v>
      </c>
      <c r="R61" s="1" t="s">
        <v>228</v>
      </c>
      <c r="S61" s="1">
        <f>IFERROR(AVERAGE(Urban[[#This Row],[‫دیسمبر‬‏]]:Urban[[#This Row],[‫اكتوبر‬‏]]),"")</f>
        <v>3204.3333333333335</v>
      </c>
      <c r="T61" s="1">
        <f>IFERROR(AVERAGE(Urban[[#This Row],[‫سبتمبر‬‏]]:Urban[[#This Row],[‫یولیو‬‏]]),"")</f>
        <v>3070</v>
      </c>
      <c r="U61" s="1" t="str">
        <f>IFERROR(AVERAGE(Urban[[#This Row],[‫یونیو‬‏]]:Urban[[#This Row],[‫ابریل‬‏]]),"")</f>
        <v/>
      </c>
      <c r="V61" s="1">
        <f>IFERROR(AVERAGE(Urban[[#This Row],[‫مارس‬‏]]:Urban[[#This Row],[‫ینایر‬‏]]),"")</f>
        <v>3142.5</v>
      </c>
    </row>
    <row r="62" spans="1:22" x14ac:dyDescent="0.35">
      <c r="A62" s="1">
        <v>562</v>
      </c>
      <c r="B62" s="1">
        <v>2390</v>
      </c>
      <c r="C62" s="1">
        <v>3735</v>
      </c>
      <c r="D62" s="1"/>
      <c r="E62" s="1"/>
      <c r="F62" s="1"/>
      <c r="G62" s="1"/>
      <c r="H62" s="1"/>
      <c r="I62" s="1">
        <v>3220</v>
      </c>
      <c r="J62" s="1">
        <v>4145</v>
      </c>
      <c r="K62" s="1">
        <v>3910</v>
      </c>
      <c r="L62" s="1">
        <v>3447</v>
      </c>
      <c r="M62" s="1">
        <v>3682</v>
      </c>
      <c r="N62" s="1">
        <v>4005</v>
      </c>
      <c r="O62" s="1"/>
      <c r="P62" t="s">
        <v>25</v>
      </c>
      <c r="Q62" t="s">
        <v>290</v>
      </c>
      <c r="R62" s="1" t="s">
        <v>228</v>
      </c>
      <c r="S62" s="1" t="str">
        <f>IFERROR(AVERAGE(Urban[[#This Row],[‫دیسمبر‬‏]]:Urban[[#This Row],[‫اكتوبر‬‏]]),"")</f>
        <v/>
      </c>
      <c r="T62" s="1">
        <f>IFERROR(AVERAGE(Urban[[#This Row],[‫سبتمبر‬‏]]:Urban[[#This Row],[‫یولیو‬‏]]),"")</f>
        <v>3220</v>
      </c>
      <c r="U62" s="1">
        <f>IFERROR(AVERAGE(Urban[[#This Row],[‫یونیو‬‏]]:Urban[[#This Row],[‫ابریل‬‏]]),"")</f>
        <v>3834</v>
      </c>
      <c r="V62" s="1">
        <f>IFERROR(AVERAGE(Urban[[#This Row],[‫مارس‬‏]]:Urban[[#This Row],[‫ینایر‬‏]]),"")</f>
        <v>3843.5</v>
      </c>
    </row>
    <row r="63" spans="1:22" x14ac:dyDescent="0.35">
      <c r="A63" s="1">
        <v>202</v>
      </c>
      <c r="B63" s="1">
        <v>1764</v>
      </c>
      <c r="C63" s="1">
        <v>2120</v>
      </c>
      <c r="D63" s="1"/>
      <c r="E63" s="1"/>
      <c r="F63" s="1"/>
      <c r="G63" s="1"/>
      <c r="H63" s="1">
        <v>2073</v>
      </c>
      <c r="I63" s="1">
        <v>1972</v>
      </c>
      <c r="J63" s="1">
        <v>2099</v>
      </c>
      <c r="K63" s="1">
        <v>2168</v>
      </c>
      <c r="L63" s="1">
        <v>2289</v>
      </c>
      <c r="M63" s="1"/>
      <c r="N63" s="1"/>
      <c r="O63" s="1"/>
      <c r="P63" t="s">
        <v>25</v>
      </c>
      <c r="Q63" t="s">
        <v>291</v>
      </c>
      <c r="R63" s="1" t="s">
        <v>228</v>
      </c>
      <c r="S63" s="1" t="str">
        <f>IFERROR(AVERAGE(Urban[[#This Row],[‫دیسمبر‬‏]]:Urban[[#This Row],[‫اكتوبر‬‏]]),"")</f>
        <v/>
      </c>
      <c r="T63" s="1">
        <f>IFERROR(AVERAGE(Urban[[#This Row],[‫سبتمبر‬‏]]:Urban[[#This Row],[‫یولیو‬‏]]),"")</f>
        <v>2022.5</v>
      </c>
      <c r="U63" s="1">
        <f>IFERROR(AVERAGE(Urban[[#This Row],[‫یونیو‬‏]]:Urban[[#This Row],[‫ابریل‬‏]]),"")</f>
        <v>2185.3333333333335</v>
      </c>
      <c r="V63" s="1" t="str">
        <f>IFERROR(AVERAGE(Urban[[#This Row],[‫مارس‬‏]]:Urban[[#This Row],[‫ینایر‬‏]]),"")</f>
        <v/>
      </c>
    </row>
    <row r="64" spans="1:22" x14ac:dyDescent="0.35">
      <c r="A64" s="1">
        <v>273</v>
      </c>
      <c r="B64" s="1">
        <v>1833</v>
      </c>
      <c r="C64" s="1">
        <v>2334</v>
      </c>
      <c r="D64" s="1">
        <v>2326</v>
      </c>
      <c r="E64" s="1">
        <v>2266</v>
      </c>
      <c r="F64" s="1">
        <v>2289</v>
      </c>
      <c r="G64" s="1">
        <v>2266</v>
      </c>
      <c r="H64" s="1">
        <v>2222</v>
      </c>
      <c r="I64" s="1">
        <v>2189</v>
      </c>
      <c r="J64" s="1">
        <v>2350</v>
      </c>
      <c r="K64" s="1">
        <v>2396</v>
      </c>
      <c r="L64" s="1">
        <v>2327</v>
      </c>
      <c r="M64" s="1">
        <v>2565</v>
      </c>
      <c r="N64" s="1">
        <v>2403</v>
      </c>
      <c r="O64" s="1">
        <v>2405</v>
      </c>
      <c r="P64" t="s">
        <v>25</v>
      </c>
      <c r="Q64" t="s">
        <v>292</v>
      </c>
      <c r="R64" s="1" t="s">
        <v>228</v>
      </c>
      <c r="S64" s="1">
        <f>IFERROR(AVERAGE(Urban[[#This Row],[‫دیسمبر‬‏]]:Urban[[#This Row],[‫اكتوبر‬‏]]),"")</f>
        <v>2293.6666666666665</v>
      </c>
      <c r="T64" s="1">
        <f>IFERROR(AVERAGE(Urban[[#This Row],[‫سبتمبر‬‏]]:Urban[[#This Row],[‫یولیو‬‏]]),"")</f>
        <v>2225.6666666666665</v>
      </c>
      <c r="U64" s="1">
        <f>IFERROR(AVERAGE(Urban[[#This Row],[‫یونیو‬‏]]:Urban[[#This Row],[‫ابریل‬‏]]),"")</f>
        <v>2357.6666666666665</v>
      </c>
      <c r="V64" s="1">
        <f>IFERROR(AVERAGE(Urban[[#This Row],[‫مارس‬‏]]:Urban[[#This Row],[‫ینایر‬‏]]),"")</f>
        <v>2457.6666666666665</v>
      </c>
    </row>
    <row r="65" spans="1:22" x14ac:dyDescent="0.35">
      <c r="A65" s="1">
        <v>1511</v>
      </c>
      <c r="B65" s="1">
        <v>1058</v>
      </c>
      <c r="C65" s="1">
        <v>2656</v>
      </c>
      <c r="D65" s="1"/>
      <c r="E65" s="1"/>
      <c r="F65" s="1"/>
      <c r="G65" s="1"/>
      <c r="H65" s="1"/>
      <c r="I65" s="1"/>
      <c r="J65" s="1">
        <v>2718</v>
      </c>
      <c r="K65" s="1">
        <v>2595</v>
      </c>
      <c r="L65" s="1"/>
      <c r="M65" s="1"/>
      <c r="N65" s="1"/>
      <c r="O65" s="1"/>
      <c r="P65" t="s">
        <v>25</v>
      </c>
      <c r="Q65" t="s">
        <v>293</v>
      </c>
      <c r="R65" s="1" t="s">
        <v>228</v>
      </c>
      <c r="S65" s="1" t="str">
        <f>IFERROR(AVERAGE(Urban[[#This Row],[‫دیسمبر‬‏]]:Urban[[#This Row],[‫اكتوبر‬‏]]),"")</f>
        <v/>
      </c>
      <c r="T65" s="1" t="str">
        <f>IFERROR(AVERAGE(Urban[[#This Row],[‫سبتمبر‬‏]]:Urban[[#This Row],[‫یولیو‬‏]]),"")</f>
        <v/>
      </c>
      <c r="U65" s="1">
        <f>IFERROR(AVERAGE(Urban[[#This Row],[‫یونیو‬‏]]:Urban[[#This Row],[‫ابریل‬‏]]),"")</f>
        <v>2656.5</v>
      </c>
      <c r="V65" s="1" t="str">
        <f>IFERROR(AVERAGE(Urban[[#This Row],[‫مارس‬‏]]:Urban[[#This Row],[‫ینایر‬‏]]),"")</f>
        <v/>
      </c>
    </row>
    <row r="66" spans="1:22" x14ac:dyDescent="0.35">
      <c r="A66" s="1">
        <v>433</v>
      </c>
      <c r="B66" s="1">
        <v>5141</v>
      </c>
      <c r="C66" s="1">
        <v>7367</v>
      </c>
      <c r="D66" s="1"/>
      <c r="E66" s="1"/>
      <c r="F66" s="1"/>
      <c r="G66" s="1"/>
      <c r="H66" s="1"/>
      <c r="I66" s="1">
        <v>7667</v>
      </c>
      <c r="J66" s="1">
        <v>8013</v>
      </c>
      <c r="K66" s="1">
        <v>6420</v>
      </c>
      <c r="L66" s="1"/>
      <c r="M66" s="1"/>
      <c r="N66" s="1"/>
      <c r="O66" s="1"/>
      <c r="P66" t="s">
        <v>25</v>
      </c>
      <c r="Q66" t="s">
        <v>294</v>
      </c>
      <c r="R66" s="1" t="s">
        <v>228</v>
      </c>
      <c r="S66" s="1" t="str">
        <f>IFERROR(AVERAGE(Urban[[#This Row],[‫دیسمبر‬‏]]:Urban[[#This Row],[‫اكتوبر‬‏]]),"")</f>
        <v/>
      </c>
      <c r="T66" s="1">
        <f>IFERROR(AVERAGE(Urban[[#This Row],[‫سبتمبر‬‏]]:Urban[[#This Row],[‫یولیو‬‏]]),"")</f>
        <v>7667</v>
      </c>
      <c r="U66" s="1">
        <f>IFERROR(AVERAGE(Urban[[#This Row],[‫یونیو‬‏]]:Urban[[#This Row],[‫ابریل‬‏]]),"")</f>
        <v>7216.5</v>
      </c>
      <c r="V66" s="1" t="str">
        <f>IFERROR(AVERAGE(Urban[[#This Row],[‫مارس‬‏]]:Urban[[#This Row],[‫ینایر‬‏]]),"")</f>
        <v/>
      </c>
    </row>
    <row r="67" spans="1:22" x14ac:dyDescent="0.35">
      <c r="A67" s="1">
        <v>510</v>
      </c>
      <c r="B67" s="1">
        <v>3064</v>
      </c>
      <c r="C67" s="1">
        <v>4626</v>
      </c>
      <c r="D67" s="1"/>
      <c r="E67" s="1"/>
      <c r="F67" s="1"/>
      <c r="G67" s="1">
        <v>3399</v>
      </c>
      <c r="H67" s="1">
        <v>3578</v>
      </c>
      <c r="I67" s="1">
        <v>5229</v>
      </c>
      <c r="J67" s="1">
        <v>6296</v>
      </c>
      <c r="K67" s="1"/>
      <c r="L67" s="1"/>
      <c r="M67" s="1"/>
      <c r="N67" s="1"/>
      <c r="O67" s="1"/>
      <c r="P67" t="s">
        <v>25</v>
      </c>
      <c r="Q67" t="s">
        <v>295</v>
      </c>
      <c r="R67" s="1" t="s">
        <v>228</v>
      </c>
      <c r="S67" s="1" t="str">
        <f>IFERROR(AVERAGE(Urban[[#This Row],[‫دیسمبر‬‏]]:Urban[[#This Row],[‫اكتوبر‬‏]]),"")</f>
        <v/>
      </c>
      <c r="T67" s="1">
        <f>IFERROR(AVERAGE(Urban[[#This Row],[‫سبتمبر‬‏]]:Urban[[#This Row],[‫یولیو‬‏]]),"")</f>
        <v>4068.6666666666665</v>
      </c>
      <c r="U67" s="1">
        <f>IFERROR(AVERAGE(Urban[[#This Row],[‫یونیو‬‏]]:Urban[[#This Row],[‫ابریل‬‏]]),"")</f>
        <v>6296</v>
      </c>
      <c r="V67" s="1" t="str">
        <f>IFERROR(AVERAGE(Urban[[#This Row],[‫مارس‬‏]]:Urban[[#This Row],[‫ینایر‬‏]]),"")</f>
        <v/>
      </c>
    </row>
    <row r="68" spans="1:22" x14ac:dyDescent="0.35">
      <c r="A68" s="1">
        <v>412</v>
      </c>
      <c r="B68" s="1">
        <v>3900</v>
      </c>
      <c r="C68" s="1">
        <v>5506</v>
      </c>
      <c r="D68" s="1"/>
      <c r="E68" s="1"/>
      <c r="F68" s="1">
        <v>4440</v>
      </c>
      <c r="G68" s="1">
        <v>4196</v>
      </c>
      <c r="H68" s="1">
        <v>4584</v>
      </c>
      <c r="I68" s="1">
        <v>6481</v>
      </c>
      <c r="J68" s="1">
        <v>7832</v>
      </c>
      <c r="K68" s="1"/>
      <c r="L68" s="1"/>
      <c r="M68" s="1"/>
      <c r="N68" s="1"/>
      <c r="O68" s="1"/>
      <c r="P68" t="s">
        <v>25</v>
      </c>
      <c r="Q68" t="s">
        <v>296</v>
      </c>
      <c r="R68" s="1" t="s">
        <v>228</v>
      </c>
      <c r="S68" s="1">
        <f>IFERROR(AVERAGE(Urban[[#This Row],[‫دیسمبر‬‏]]:Urban[[#This Row],[‫اكتوبر‬‏]]),"")</f>
        <v>4440</v>
      </c>
      <c r="T68" s="1">
        <f>IFERROR(AVERAGE(Urban[[#This Row],[‫سبتمبر‬‏]]:Urban[[#This Row],[‫یولیو‬‏]]),"")</f>
        <v>5087</v>
      </c>
      <c r="U68" s="1">
        <f>IFERROR(AVERAGE(Urban[[#This Row],[‫یونیو‬‏]]:Urban[[#This Row],[‫ابریل‬‏]]),"")</f>
        <v>7832</v>
      </c>
      <c r="V68" s="1" t="str">
        <f>IFERROR(AVERAGE(Urban[[#This Row],[‫مارس‬‏]]:Urban[[#This Row],[‫ینایر‬‏]]),"")</f>
        <v/>
      </c>
    </row>
    <row r="69" spans="1:22" x14ac:dyDescent="0.35">
      <c r="A69" s="1">
        <v>421</v>
      </c>
      <c r="B69" s="1">
        <v>3659</v>
      </c>
      <c r="C69" s="1">
        <v>5199</v>
      </c>
      <c r="D69" s="1"/>
      <c r="E69" s="1"/>
      <c r="F69" s="1"/>
      <c r="G69" s="1"/>
      <c r="H69" s="1">
        <v>5346</v>
      </c>
      <c r="I69" s="1">
        <v>5442</v>
      </c>
      <c r="J69" s="1">
        <v>5119</v>
      </c>
      <c r="K69" s="1">
        <v>4890</v>
      </c>
      <c r="L69" s="1"/>
      <c r="M69" s="1"/>
      <c r="N69" s="1"/>
      <c r="O69" s="1"/>
      <c r="P69" t="s">
        <v>25</v>
      </c>
      <c r="Q69" t="s">
        <v>297</v>
      </c>
      <c r="R69" s="1" t="s">
        <v>228</v>
      </c>
      <c r="S69" s="1" t="str">
        <f>IFERROR(AVERAGE(Urban[[#This Row],[‫دیسمبر‬‏]]:Urban[[#This Row],[‫اكتوبر‬‏]]),"")</f>
        <v/>
      </c>
      <c r="T69" s="1">
        <f>IFERROR(AVERAGE(Urban[[#This Row],[‫سبتمبر‬‏]]:Urban[[#This Row],[‫یولیو‬‏]]),"")</f>
        <v>5394</v>
      </c>
      <c r="U69" s="1">
        <f>IFERROR(AVERAGE(Urban[[#This Row],[‫یونیو‬‏]]:Urban[[#This Row],[‫ابریل‬‏]]),"")</f>
        <v>5004.5</v>
      </c>
      <c r="V69" s="1" t="str">
        <f>IFERROR(AVERAGE(Urban[[#This Row],[‫مارس‬‏]]:Urban[[#This Row],[‫ینایر‬‏]]),"")</f>
        <v/>
      </c>
    </row>
    <row r="70" spans="1:22" x14ac:dyDescent="0.35">
      <c r="A70" s="1">
        <v>177</v>
      </c>
      <c r="B70" s="1">
        <v>3904</v>
      </c>
      <c r="C70" s="1">
        <v>4596</v>
      </c>
      <c r="D70" s="1"/>
      <c r="E70" s="1"/>
      <c r="F70" s="1">
        <v>4475</v>
      </c>
      <c r="G70" s="1">
        <v>4602</v>
      </c>
      <c r="H70" s="1">
        <v>4711</v>
      </c>
      <c r="I70" s="1"/>
      <c r="J70" s="1"/>
      <c r="K70" s="1"/>
      <c r="L70" s="1"/>
      <c r="M70" s="1"/>
      <c r="N70" s="1"/>
      <c r="O70" s="1"/>
      <c r="P70" t="s">
        <v>25</v>
      </c>
      <c r="Q70" t="s">
        <v>298</v>
      </c>
      <c r="R70" s="1" t="s">
        <v>228</v>
      </c>
      <c r="S70" s="1">
        <f>IFERROR(AVERAGE(Urban[[#This Row],[‫دیسمبر‬‏]]:Urban[[#This Row],[‫اكتوبر‬‏]]),"")</f>
        <v>4475</v>
      </c>
      <c r="T70" s="1">
        <f>IFERROR(AVERAGE(Urban[[#This Row],[‫سبتمبر‬‏]]:Urban[[#This Row],[‫یولیو‬‏]]),"")</f>
        <v>4656.5</v>
      </c>
      <c r="U70" s="1" t="str">
        <f>IFERROR(AVERAGE(Urban[[#This Row],[‫یونیو‬‏]]:Urban[[#This Row],[‫ابریل‬‏]]),"")</f>
        <v/>
      </c>
      <c r="V70" s="1" t="str">
        <f>IFERROR(AVERAGE(Urban[[#This Row],[‫مارس‬‏]]:Urban[[#This Row],[‫ینایر‬‏]]),"")</f>
        <v/>
      </c>
    </row>
    <row r="71" spans="1:22" x14ac:dyDescent="0.35">
      <c r="A71" s="1">
        <v>344</v>
      </c>
      <c r="B71" s="1">
        <v>4960</v>
      </c>
      <c r="C71" s="1">
        <v>6667</v>
      </c>
      <c r="D71" s="1"/>
      <c r="E71" s="1"/>
      <c r="F71" s="1"/>
      <c r="G71" s="1"/>
      <c r="H71" s="1"/>
      <c r="I71" s="1">
        <v>6348</v>
      </c>
      <c r="J71" s="1">
        <v>6986</v>
      </c>
      <c r="K71" s="1"/>
      <c r="L71" s="1"/>
      <c r="M71" s="1"/>
      <c r="N71" s="1"/>
      <c r="O71" s="1"/>
      <c r="P71" t="s">
        <v>25</v>
      </c>
      <c r="Q71" t="s">
        <v>299</v>
      </c>
      <c r="R71" s="1" t="s">
        <v>228</v>
      </c>
      <c r="S71" s="1" t="str">
        <f>IFERROR(AVERAGE(Urban[[#This Row],[‫دیسمبر‬‏]]:Urban[[#This Row],[‫اكتوبر‬‏]]),"")</f>
        <v/>
      </c>
      <c r="T71" s="1">
        <f>IFERROR(AVERAGE(Urban[[#This Row],[‫سبتمبر‬‏]]:Urban[[#This Row],[‫یولیو‬‏]]),"")</f>
        <v>6348</v>
      </c>
      <c r="U71" s="1">
        <f>IFERROR(AVERAGE(Urban[[#This Row],[‫یونیو‬‏]]:Urban[[#This Row],[‫ابریل‬‏]]),"")</f>
        <v>6986</v>
      </c>
      <c r="V71" s="1" t="str">
        <f>IFERROR(AVERAGE(Urban[[#This Row],[‫مارس‬‏]]:Urban[[#This Row],[‫ینایر‬‏]]),"")</f>
        <v/>
      </c>
    </row>
    <row r="72" spans="1:22" x14ac:dyDescent="0.35">
      <c r="A72" s="1">
        <v>214</v>
      </c>
      <c r="B72" s="1">
        <v>3536</v>
      </c>
      <c r="C72" s="1">
        <v>4294</v>
      </c>
      <c r="D72" s="1"/>
      <c r="E72" s="1"/>
      <c r="F72" s="1">
        <v>3976</v>
      </c>
      <c r="G72" s="1">
        <v>4108</v>
      </c>
      <c r="H72" s="1">
        <v>4174</v>
      </c>
      <c r="I72" s="1">
        <v>4916</v>
      </c>
      <c r="J72" s="1"/>
      <c r="K72" s="1"/>
      <c r="L72" s="1"/>
      <c r="M72" s="1"/>
      <c r="N72" s="1"/>
      <c r="O72" s="1"/>
      <c r="P72" t="s">
        <v>25</v>
      </c>
      <c r="Q72" t="s">
        <v>300</v>
      </c>
      <c r="R72" s="1" t="s">
        <v>228</v>
      </c>
      <c r="S72" s="1">
        <f>IFERROR(AVERAGE(Urban[[#This Row],[‫دیسمبر‬‏]]:Urban[[#This Row],[‫اكتوبر‬‏]]),"")</f>
        <v>3976</v>
      </c>
      <c r="T72" s="1">
        <f>IFERROR(AVERAGE(Urban[[#This Row],[‫سبتمبر‬‏]]:Urban[[#This Row],[‫یولیو‬‏]]),"")</f>
        <v>4399.333333333333</v>
      </c>
      <c r="U72" s="1" t="str">
        <f>IFERROR(AVERAGE(Urban[[#This Row],[‫یونیو‬‏]]:Urban[[#This Row],[‫ابریل‬‏]]),"")</f>
        <v/>
      </c>
      <c r="V72" s="1" t="str">
        <f>IFERROR(AVERAGE(Urban[[#This Row],[‫مارس‬‏]]:Urban[[#This Row],[‫ینایر‬‏]]),"")</f>
        <v/>
      </c>
    </row>
    <row r="73" spans="1:22" x14ac:dyDescent="0.35">
      <c r="A73" s="1">
        <v>373</v>
      </c>
      <c r="B73" s="1">
        <v>4005</v>
      </c>
      <c r="C73" s="1">
        <v>5499</v>
      </c>
      <c r="D73" s="1"/>
      <c r="E73" s="1"/>
      <c r="F73" s="1"/>
      <c r="G73" s="1">
        <v>5728</v>
      </c>
      <c r="H73" s="1">
        <v>5269</v>
      </c>
      <c r="I73" s="1"/>
      <c r="J73" s="1"/>
      <c r="K73" s="1"/>
      <c r="L73" s="1"/>
      <c r="M73" s="1"/>
      <c r="N73" s="1"/>
      <c r="O73" s="1"/>
      <c r="P73" t="s">
        <v>25</v>
      </c>
      <c r="Q73" t="s">
        <v>301</v>
      </c>
      <c r="R73" s="1" t="s">
        <v>228</v>
      </c>
      <c r="S73" s="1" t="str">
        <f>IFERROR(AVERAGE(Urban[[#This Row],[‫دیسمبر‬‏]]:Urban[[#This Row],[‫اكتوبر‬‏]]),"")</f>
        <v/>
      </c>
      <c r="T73" s="1">
        <f>IFERROR(AVERAGE(Urban[[#This Row],[‫سبتمبر‬‏]]:Urban[[#This Row],[‫یولیو‬‏]]),"")</f>
        <v>5498.5</v>
      </c>
      <c r="U73" s="1" t="str">
        <f>IFERROR(AVERAGE(Urban[[#This Row],[‫یونیو‬‏]]:Urban[[#This Row],[‫ابریل‬‏]]),"")</f>
        <v/>
      </c>
      <c r="V73" s="1" t="str">
        <f>IFERROR(AVERAGE(Urban[[#This Row],[‫مارس‬‏]]:Urban[[#This Row],[‫ینایر‬‏]]),"")</f>
        <v/>
      </c>
    </row>
    <row r="74" spans="1:22" x14ac:dyDescent="0.35">
      <c r="A74" s="1">
        <v>425</v>
      </c>
      <c r="B74" s="1">
        <v>3102</v>
      </c>
      <c r="C74" s="1">
        <v>4419</v>
      </c>
      <c r="D74" s="1"/>
      <c r="E74" s="1"/>
      <c r="F74" s="1"/>
      <c r="G74" s="1">
        <v>4623</v>
      </c>
      <c r="H74" s="1">
        <v>4216</v>
      </c>
      <c r="I74" s="1"/>
      <c r="J74" s="1"/>
      <c r="K74" s="1"/>
      <c r="L74" s="1"/>
      <c r="M74" s="1"/>
      <c r="N74" s="1"/>
      <c r="O74" s="1"/>
      <c r="P74" t="s">
        <v>25</v>
      </c>
      <c r="Q74" t="s">
        <v>302</v>
      </c>
      <c r="R74" s="1" t="s">
        <v>228</v>
      </c>
      <c r="S74" s="1" t="str">
        <f>IFERROR(AVERAGE(Urban[[#This Row],[‫دیسمبر‬‏]]:Urban[[#This Row],[‫اكتوبر‬‏]]),"")</f>
        <v/>
      </c>
      <c r="T74" s="1">
        <f>IFERROR(AVERAGE(Urban[[#This Row],[‫سبتمبر‬‏]]:Urban[[#This Row],[‫یولیو‬‏]]),"")</f>
        <v>4419.5</v>
      </c>
      <c r="U74" s="1" t="str">
        <f>IFERROR(AVERAGE(Urban[[#This Row],[‫یونیو‬‏]]:Urban[[#This Row],[‫ابریل‬‏]]),"")</f>
        <v/>
      </c>
      <c r="V74" s="1" t="str">
        <f>IFERROR(AVERAGE(Urban[[#This Row],[‫مارس‬‏]]:Urban[[#This Row],[‫ینایر‬‏]]),"")</f>
        <v/>
      </c>
    </row>
    <row r="75" spans="1:22" x14ac:dyDescent="0.35">
      <c r="A75" s="1">
        <v>447</v>
      </c>
      <c r="B75" s="1">
        <v>3160</v>
      </c>
      <c r="C75" s="1">
        <v>4573</v>
      </c>
      <c r="D75" s="1"/>
      <c r="E75" s="1"/>
      <c r="F75" s="1"/>
      <c r="G75" s="1">
        <v>4717</v>
      </c>
      <c r="H75" s="1">
        <v>4428</v>
      </c>
      <c r="I75" s="1"/>
      <c r="J75" s="1"/>
      <c r="K75" s="1"/>
      <c r="L75" s="1"/>
      <c r="M75" s="1"/>
      <c r="N75" s="1"/>
      <c r="O75" s="1"/>
      <c r="P75" t="s">
        <v>25</v>
      </c>
      <c r="Q75" t="s">
        <v>303</v>
      </c>
      <c r="R75" s="1" t="s">
        <v>228</v>
      </c>
      <c r="S75" s="1" t="str">
        <f>IFERROR(AVERAGE(Urban[[#This Row],[‫دیسمبر‬‏]]:Urban[[#This Row],[‫اكتوبر‬‏]]),"")</f>
        <v/>
      </c>
      <c r="T75" s="1">
        <f>IFERROR(AVERAGE(Urban[[#This Row],[‫سبتمبر‬‏]]:Urban[[#This Row],[‫یولیو‬‏]]),"")</f>
        <v>4572.5</v>
      </c>
      <c r="U75" s="1" t="str">
        <f>IFERROR(AVERAGE(Urban[[#This Row],[‫یونیو‬‏]]:Urban[[#This Row],[‫ابریل‬‏]]),"")</f>
        <v/>
      </c>
      <c r="V75" s="1" t="str">
        <f>IFERROR(AVERAGE(Urban[[#This Row],[‫مارس‬‏]]:Urban[[#This Row],[‫ینایر‬‏]]),"")</f>
        <v/>
      </c>
    </row>
    <row r="76" spans="1:22" x14ac:dyDescent="0.35">
      <c r="A76" s="1">
        <v>388</v>
      </c>
      <c r="B76" s="1">
        <v>2433</v>
      </c>
      <c r="C76" s="1">
        <v>3376</v>
      </c>
      <c r="D76" s="1">
        <v>3152</v>
      </c>
      <c r="E76" s="1">
        <v>3142</v>
      </c>
      <c r="F76" s="1">
        <v>3174</v>
      </c>
      <c r="G76" s="1">
        <v>4067</v>
      </c>
      <c r="H76" s="1">
        <v>4237</v>
      </c>
      <c r="I76" s="1"/>
      <c r="J76" s="1"/>
      <c r="K76" s="1"/>
      <c r="L76" s="1"/>
      <c r="M76" s="1"/>
      <c r="N76" s="1">
        <v>2928</v>
      </c>
      <c r="O76" s="1">
        <v>2933</v>
      </c>
      <c r="P76" t="s">
        <v>25</v>
      </c>
      <c r="Q76" t="s">
        <v>304</v>
      </c>
      <c r="R76" s="1" t="s">
        <v>228</v>
      </c>
      <c r="S76" s="1">
        <f>IFERROR(AVERAGE(Urban[[#This Row],[‫دیسمبر‬‏]]:Urban[[#This Row],[‫اكتوبر‬‏]]),"")</f>
        <v>3156</v>
      </c>
      <c r="T76" s="1">
        <f>IFERROR(AVERAGE(Urban[[#This Row],[‫سبتمبر‬‏]]:Urban[[#This Row],[‫یولیو‬‏]]),"")</f>
        <v>4152</v>
      </c>
      <c r="U76" s="1" t="str">
        <f>IFERROR(AVERAGE(Urban[[#This Row],[‫یونیو‬‏]]:Urban[[#This Row],[‫ابریل‬‏]]),"")</f>
        <v/>
      </c>
      <c r="V76" s="1">
        <f>IFERROR(AVERAGE(Urban[[#This Row],[‫مارس‬‏]]:Urban[[#This Row],[‫ینایر‬‏]]),"")</f>
        <v>2930.5</v>
      </c>
    </row>
    <row r="77" spans="1:22" x14ac:dyDescent="0.35">
      <c r="A77" s="1">
        <v>256</v>
      </c>
      <c r="B77" s="1">
        <v>2478</v>
      </c>
      <c r="C77" s="1">
        <v>3113</v>
      </c>
      <c r="D77" s="1">
        <v>3321</v>
      </c>
      <c r="E77" s="1">
        <v>3192</v>
      </c>
      <c r="F77" s="1">
        <v>3065</v>
      </c>
      <c r="G77" s="1">
        <v>2876</v>
      </c>
      <c r="H77" s="1"/>
      <c r="I77" s="1"/>
      <c r="J77" s="1"/>
      <c r="K77" s="1"/>
      <c r="L77" s="1"/>
      <c r="M77" s="1"/>
      <c r="N77" s="1"/>
      <c r="O77" s="1"/>
      <c r="P77" t="s">
        <v>25</v>
      </c>
      <c r="Q77" t="s">
        <v>305</v>
      </c>
      <c r="R77" s="1" t="s">
        <v>228</v>
      </c>
      <c r="S77" s="1">
        <f>IFERROR(AVERAGE(Urban[[#This Row],[‫دیسمبر‬‏]]:Urban[[#This Row],[‫اكتوبر‬‏]]),"")</f>
        <v>3192.6666666666665</v>
      </c>
      <c r="T77" s="1">
        <f>IFERROR(AVERAGE(Urban[[#This Row],[‫سبتمبر‬‏]]:Urban[[#This Row],[‫یولیو‬‏]]),"")</f>
        <v>2876</v>
      </c>
      <c r="U77" s="1" t="str">
        <f>IFERROR(AVERAGE(Urban[[#This Row],[‫یونیو‬‏]]:Urban[[#This Row],[‫ابریل‬‏]]),"")</f>
        <v/>
      </c>
      <c r="V77" s="1" t="str">
        <f>IFERROR(AVERAGE(Urban[[#This Row],[‫مارس‬‏]]:Urban[[#This Row],[‫ینایر‬‏]]),"")</f>
        <v/>
      </c>
    </row>
    <row r="78" spans="1:22" x14ac:dyDescent="0.35">
      <c r="A78" s="1">
        <v>322</v>
      </c>
      <c r="B78" s="1">
        <v>2616</v>
      </c>
      <c r="C78" s="1">
        <v>3459</v>
      </c>
      <c r="D78" s="1">
        <v>3551</v>
      </c>
      <c r="E78" s="1">
        <v>3496</v>
      </c>
      <c r="F78" s="1">
        <v>3437</v>
      </c>
      <c r="G78" s="1">
        <v>3354</v>
      </c>
      <c r="H78" s="1"/>
      <c r="I78" s="1"/>
      <c r="J78" s="1"/>
      <c r="K78" s="1"/>
      <c r="L78" s="1"/>
      <c r="M78" s="1"/>
      <c r="N78" s="1"/>
      <c r="O78" s="1"/>
      <c r="P78" t="s">
        <v>25</v>
      </c>
      <c r="Q78" t="s">
        <v>306</v>
      </c>
      <c r="R78" s="1" t="s">
        <v>228</v>
      </c>
      <c r="S78" s="1">
        <f>IFERROR(AVERAGE(Urban[[#This Row],[‫دیسمبر‬‏]]:Urban[[#This Row],[‫اكتوبر‬‏]]),"")</f>
        <v>3494.6666666666665</v>
      </c>
      <c r="T78" s="1">
        <f>IFERROR(AVERAGE(Urban[[#This Row],[‫سبتمبر‬‏]]:Urban[[#This Row],[‫یولیو‬‏]]),"")</f>
        <v>3354</v>
      </c>
      <c r="U78" s="1" t="str">
        <f>IFERROR(AVERAGE(Urban[[#This Row],[‫یونیو‬‏]]:Urban[[#This Row],[‫ابریل‬‏]]),"")</f>
        <v/>
      </c>
      <c r="V78" s="1" t="str">
        <f>IFERROR(AVERAGE(Urban[[#This Row],[‫مارس‬‏]]:Urban[[#This Row],[‫ینایر‬‏]]),"")</f>
        <v/>
      </c>
    </row>
    <row r="79" spans="1:22" x14ac:dyDescent="0.35">
      <c r="A79" s="1">
        <v>306</v>
      </c>
      <c r="B79" s="1">
        <v>2115</v>
      </c>
      <c r="C79" s="1">
        <v>2761</v>
      </c>
      <c r="D79" s="1">
        <v>2852</v>
      </c>
      <c r="E79" s="1">
        <v>2819</v>
      </c>
      <c r="F79" s="1">
        <v>2664</v>
      </c>
      <c r="G79" s="1">
        <v>2711</v>
      </c>
      <c r="H79" s="1"/>
      <c r="I79" s="1"/>
      <c r="J79" s="1"/>
      <c r="K79" s="1"/>
      <c r="L79" s="1"/>
      <c r="M79" s="1"/>
      <c r="N79" s="1"/>
      <c r="O79" s="1"/>
      <c r="P79" t="s">
        <v>25</v>
      </c>
      <c r="Q79" t="s">
        <v>307</v>
      </c>
      <c r="R79" s="1" t="s">
        <v>228</v>
      </c>
      <c r="S79" s="1">
        <f>IFERROR(AVERAGE(Urban[[#This Row],[‫دیسمبر‬‏]]:Urban[[#This Row],[‫اكتوبر‬‏]]),"")</f>
        <v>2778.3333333333335</v>
      </c>
      <c r="T79" s="1">
        <f>IFERROR(AVERAGE(Urban[[#This Row],[‫سبتمبر‬‏]]:Urban[[#This Row],[‫یولیو‬‏]]),"")</f>
        <v>2711</v>
      </c>
      <c r="U79" s="1" t="str">
        <f>IFERROR(AVERAGE(Urban[[#This Row],[‫یونیو‬‏]]:Urban[[#This Row],[‫ابریل‬‏]]),"")</f>
        <v/>
      </c>
      <c r="V79" s="1" t="str">
        <f>IFERROR(AVERAGE(Urban[[#This Row],[‫مارس‬‏]]:Urban[[#This Row],[‫ینایر‬‏]]),"")</f>
        <v/>
      </c>
    </row>
    <row r="80" spans="1:22" x14ac:dyDescent="0.35">
      <c r="A80" s="1">
        <v>264</v>
      </c>
      <c r="B80" s="1">
        <v>2427</v>
      </c>
      <c r="C80" s="1">
        <v>3067</v>
      </c>
      <c r="D80" s="1">
        <v>3107</v>
      </c>
      <c r="E80" s="1">
        <v>3052</v>
      </c>
      <c r="F80" s="1">
        <v>2946</v>
      </c>
      <c r="G80" s="1">
        <v>2973</v>
      </c>
      <c r="H80" s="1">
        <v>3259</v>
      </c>
      <c r="I80" s="1"/>
      <c r="J80" s="1"/>
      <c r="K80" s="1"/>
      <c r="L80" s="1"/>
      <c r="M80" s="1"/>
      <c r="N80" s="1"/>
      <c r="O80" s="1"/>
      <c r="P80" t="s">
        <v>25</v>
      </c>
      <c r="Q80" t="s">
        <v>308</v>
      </c>
      <c r="R80" s="1" t="s">
        <v>228</v>
      </c>
      <c r="S80" s="1">
        <f>IFERROR(AVERAGE(Urban[[#This Row],[‫دیسمبر‬‏]]:Urban[[#This Row],[‫اكتوبر‬‏]]),"")</f>
        <v>3035</v>
      </c>
      <c r="T80" s="1">
        <f>IFERROR(AVERAGE(Urban[[#This Row],[‫سبتمبر‬‏]]:Urban[[#This Row],[‫یولیو‬‏]]),"")</f>
        <v>3116</v>
      </c>
      <c r="U80" s="1" t="str">
        <f>IFERROR(AVERAGE(Urban[[#This Row],[‫یونیو‬‏]]:Urban[[#This Row],[‫ابریل‬‏]]),"")</f>
        <v/>
      </c>
      <c r="V80" s="1" t="str">
        <f>IFERROR(AVERAGE(Urban[[#This Row],[‫مارس‬‏]]:Urban[[#This Row],[‫ینایر‬‏]]),"")</f>
        <v/>
      </c>
    </row>
    <row r="81" spans="1:22" x14ac:dyDescent="0.35">
      <c r="A81" s="1">
        <v>109</v>
      </c>
      <c r="B81" s="1">
        <v>4934</v>
      </c>
      <c r="C81" s="1">
        <v>5473</v>
      </c>
      <c r="D81" s="1">
        <v>5565</v>
      </c>
      <c r="E81" s="1">
        <v>5521</v>
      </c>
      <c r="F81" s="1">
        <v>5488</v>
      </c>
      <c r="G81" s="1">
        <v>5448</v>
      </c>
      <c r="H81" s="1">
        <v>5447</v>
      </c>
      <c r="I81" s="1">
        <v>5451</v>
      </c>
      <c r="J81" s="1">
        <v>5456</v>
      </c>
      <c r="K81" s="1">
        <v>5459</v>
      </c>
      <c r="L81" s="1">
        <v>5595</v>
      </c>
      <c r="M81" s="1">
        <v>5581</v>
      </c>
      <c r="N81" s="1">
        <v>5410</v>
      </c>
      <c r="O81" s="1">
        <v>5259</v>
      </c>
      <c r="P81" t="s">
        <v>25</v>
      </c>
      <c r="Q81" t="s">
        <v>309</v>
      </c>
      <c r="R81" s="1" t="s">
        <v>228</v>
      </c>
      <c r="S81" s="1">
        <f>IFERROR(AVERAGE(Urban[[#This Row],[‫دیسمبر‬‏]]:Urban[[#This Row],[‫اكتوبر‬‏]]),"")</f>
        <v>5524.666666666667</v>
      </c>
      <c r="T81" s="1">
        <f>IFERROR(AVERAGE(Urban[[#This Row],[‫سبتمبر‬‏]]:Urban[[#This Row],[‫یولیو‬‏]]),"")</f>
        <v>5448.666666666667</v>
      </c>
      <c r="U81" s="1">
        <f>IFERROR(AVERAGE(Urban[[#This Row],[‫یونیو‬‏]]:Urban[[#This Row],[‫ابریل‬‏]]),"")</f>
        <v>5503.333333333333</v>
      </c>
      <c r="V81" s="1">
        <f>IFERROR(AVERAGE(Urban[[#This Row],[‫مارس‬‏]]:Urban[[#This Row],[‫ینایر‬‏]]),"")</f>
        <v>5416.666666666667</v>
      </c>
    </row>
    <row r="82" spans="1:22" x14ac:dyDescent="0.35">
      <c r="A82" s="1">
        <v>345</v>
      </c>
      <c r="B82" s="1">
        <v>2970</v>
      </c>
      <c r="C82" s="1">
        <v>3994</v>
      </c>
      <c r="D82" s="1">
        <v>4238</v>
      </c>
      <c r="E82" s="1">
        <v>4095</v>
      </c>
      <c r="F82" s="1"/>
      <c r="G82" s="1"/>
      <c r="H82" s="1"/>
      <c r="I82" s="1"/>
      <c r="J82" s="1"/>
      <c r="K82" s="1"/>
      <c r="L82" s="1"/>
      <c r="M82" s="1"/>
      <c r="N82" s="1">
        <v>3739</v>
      </c>
      <c r="O82" s="1">
        <v>3902</v>
      </c>
      <c r="P82" t="s">
        <v>25</v>
      </c>
      <c r="Q82" t="s">
        <v>310</v>
      </c>
      <c r="R82" s="1" t="s">
        <v>228</v>
      </c>
      <c r="S82" s="1">
        <f>IFERROR(AVERAGE(Urban[[#This Row],[‫دیسمبر‬‏]]:Urban[[#This Row],[‫اكتوبر‬‏]]),"")</f>
        <v>4166.5</v>
      </c>
      <c r="T82" s="1" t="str">
        <f>IFERROR(AVERAGE(Urban[[#This Row],[‫سبتمبر‬‏]]:Urban[[#This Row],[‫یولیو‬‏]]),"")</f>
        <v/>
      </c>
      <c r="U82" s="1" t="str">
        <f>IFERROR(AVERAGE(Urban[[#This Row],[‫یونیو‬‏]]:Urban[[#This Row],[‫ابریل‬‏]]),"")</f>
        <v/>
      </c>
      <c r="V82" s="1">
        <f>IFERROR(AVERAGE(Urban[[#This Row],[‫مارس‬‏]]:Urban[[#This Row],[‫ینایر‬‏]]),"")</f>
        <v>3820.5</v>
      </c>
    </row>
    <row r="83" spans="1:22" x14ac:dyDescent="0.35">
      <c r="A83" s="1">
        <v>225</v>
      </c>
      <c r="B83" s="1">
        <v>4155</v>
      </c>
      <c r="C83" s="1">
        <v>5091</v>
      </c>
      <c r="D83" s="1"/>
      <c r="E83" s="1"/>
      <c r="F83" s="1"/>
      <c r="G83" s="1"/>
      <c r="H83" s="1">
        <v>5468</v>
      </c>
      <c r="I83" s="1">
        <v>5157</v>
      </c>
      <c r="J83" s="1">
        <v>4649</v>
      </c>
      <c r="K83" s="1"/>
      <c r="L83" s="1"/>
      <c r="M83" s="1"/>
      <c r="N83" s="1"/>
      <c r="O83" s="1"/>
      <c r="P83" t="s">
        <v>25</v>
      </c>
      <c r="Q83" t="s">
        <v>311</v>
      </c>
      <c r="R83" s="1" t="s">
        <v>228</v>
      </c>
      <c r="S83" s="1" t="str">
        <f>IFERROR(AVERAGE(Urban[[#This Row],[‫دیسمبر‬‏]]:Urban[[#This Row],[‫اكتوبر‬‏]]),"")</f>
        <v/>
      </c>
      <c r="T83" s="1">
        <f>IFERROR(AVERAGE(Urban[[#This Row],[‫سبتمبر‬‏]]:Urban[[#This Row],[‫یولیو‬‏]]),"")</f>
        <v>5312.5</v>
      </c>
      <c r="U83" s="1">
        <f>IFERROR(AVERAGE(Urban[[#This Row],[‫یونیو‬‏]]:Urban[[#This Row],[‫ابریل‬‏]]),"")</f>
        <v>4649</v>
      </c>
      <c r="V83" s="1" t="str">
        <f>IFERROR(AVERAGE(Urban[[#This Row],[‫مارس‬‏]]:Urban[[#This Row],[‫ینایر‬‏]]),"")</f>
        <v/>
      </c>
    </row>
    <row r="84" spans="1:22" x14ac:dyDescent="0.35">
      <c r="A84" s="1">
        <v>192</v>
      </c>
      <c r="B84" s="1">
        <v>7567</v>
      </c>
      <c r="C84" s="1">
        <v>9019</v>
      </c>
      <c r="D84" s="1">
        <v>9257</v>
      </c>
      <c r="E84" s="1">
        <v>9495</v>
      </c>
      <c r="F84" s="1">
        <v>9729</v>
      </c>
      <c r="G84" s="1">
        <v>9726</v>
      </c>
      <c r="H84" s="1">
        <v>9440</v>
      </c>
      <c r="I84" s="1">
        <v>9260</v>
      </c>
      <c r="J84" s="1">
        <v>9305</v>
      </c>
      <c r="K84" s="1">
        <v>9047</v>
      </c>
      <c r="L84" s="1">
        <v>8471</v>
      </c>
      <c r="M84" s="1">
        <v>8315</v>
      </c>
      <c r="N84" s="1">
        <v>8081</v>
      </c>
      <c r="O84" s="1">
        <v>8103</v>
      </c>
      <c r="P84" t="s">
        <v>25</v>
      </c>
      <c r="Q84" t="s">
        <v>312</v>
      </c>
      <c r="R84" s="1" t="s">
        <v>228</v>
      </c>
      <c r="S84" s="1">
        <f>IFERROR(AVERAGE(Urban[[#This Row],[‫دیسمبر‬‏]]:Urban[[#This Row],[‫اكتوبر‬‏]]),"")</f>
        <v>9493.6666666666661</v>
      </c>
      <c r="T84" s="1">
        <f>IFERROR(AVERAGE(Urban[[#This Row],[‫سبتمبر‬‏]]:Urban[[#This Row],[‫یولیو‬‏]]),"")</f>
        <v>9475.3333333333339</v>
      </c>
      <c r="U84" s="1">
        <f>IFERROR(AVERAGE(Urban[[#This Row],[‫یونیو‬‏]]:Urban[[#This Row],[‫ابریل‬‏]]),"")</f>
        <v>8941</v>
      </c>
      <c r="V84" s="1">
        <f>IFERROR(AVERAGE(Urban[[#This Row],[‫مارس‬‏]]:Urban[[#This Row],[‫ینایر‬‏]]),"")</f>
        <v>8166.333333333333</v>
      </c>
    </row>
    <row r="85" spans="1:22" x14ac:dyDescent="0.35">
      <c r="A85" s="1">
        <v>188</v>
      </c>
      <c r="B85" s="1">
        <v>6941</v>
      </c>
      <c r="C85" s="1">
        <v>8244</v>
      </c>
      <c r="D85" s="1">
        <v>8420</v>
      </c>
      <c r="E85" s="1">
        <v>8628</v>
      </c>
      <c r="F85" s="1">
        <v>8867</v>
      </c>
      <c r="G85" s="1">
        <v>8819</v>
      </c>
      <c r="H85" s="1">
        <v>8597</v>
      </c>
      <c r="I85" s="1">
        <v>8532</v>
      </c>
      <c r="J85" s="1">
        <v>8535</v>
      </c>
      <c r="K85" s="1">
        <v>8296</v>
      </c>
      <c r="L85" s="1">
        <v>7772</v>
      </c>
      <c r="M85" s="1">
        <v>7606</v>
      </c>
      <c r="N85" s="1">
        <v>7425</v>
      </c>
      <c r="O85" s="1">
        <v>7428</v>
      </c>
      <c r="P85" t="s">
        <v>25</v>
      </c>
      <c r="Q85" t="s">
        <v>313</v>
      </c>
      <c r="R85" s="1" t="s">
        <v>228</v>
      </c>
      <c r="S85" s="1">
        <f>IFERROR(AVERAGE(Urban[[#This Row],[‫دیسمبر‬‏]]:Urban[[#This Row],[‫اكتوبر‬‏]]),"")</f>
        <v>8638.3333333333339</v>
      </c>
      <c r="T85" s="1">
        <f>IFERROR(AVERAGE(Urban[[#This Row],[‫سبتمبر‬‏]]:Urban[[#This Row],[‫یولیو‬‏]]),"")</f>
        <v>8649.3333333333339</v>
      </c>
      <c r="U85" s="1">
        <f>IFERROR(AVERAGE(Urban[[#This Row],[‫یونیو‬‏]]:Urban[[#This Row],[‫ابریل‬‏]]),"")</f>
        <v>8201</v>
      </c>
      <c r="V85" s="1">
        <f>IFERROR(AVERAGE(Urban[[#This Row],[‫مارس‬‏]]:Urban[[#This Row],[‫ینایر‬‏]]),"")</f>
        <v>7486.333333333333</v>
      </c>
    </row>
    <row r="86" spans="1:22" x14ac:dyDescent="0.35">
      <c r="A86" s="1">
        <v>43</v>
      </c>
      <c r="B86" s="1">
        <v>40605</v>
      </c>
      <c r="C86" s="1">
        <v>42333</v>
      </c>
      <c r="D86" s="1">
        <v>41798</v>
      </c>
      <c r="E86" s="1">
        <v>42008</v>
      </c>
      <c r="F86" s="1">
        <v>42155</v>
      </c>
      <c r="G86" s="1">
        <v>42191</v>
      </c>
      <c r="H86" s="1">
        <v>42224</v>
      </c>
      <c r="I86" s="1">
        <v>42381</v>
      </c>
      <c r="J86" s="1">
        <v>42522</v>
      </c>
      <c r="K86" s="1">
        <v>42575</v>
      </c>
      <c r="L86" s="1">
        <v>42538</v>
      </c>
      <c r="M86" s="1">
        <v>42881</v>
      </c>
      <c r="N86" s="1">
        <v>42493</v>
      </c>
      <c r="O86" s="1">
        <v>42225</v>
      </c>
      <c r="P86" t="s">
        <v>25</v>
      </c>
      <c r="Q86" t="s">
        <v>314</v>
      </c>
      <c r="R86" s="1" t="s">
        <v>228</v>
      </c>
      <c r="S86" s="1">
        <f>IFERROR(AVERAGE(Urban[[#This Row],[‫دیسمبر‬‏]]:Urban[[#This Row],[‫اكتوبر‬‏]]),"")</f>
        <v>41987</v>
      </c>
      <c r="T86" s="1">
        <f>IFERROR(AVERAGE(Urban[[#This Row],[‫سبتمبر‬‏]]:Urban[[#This Row],[‫یولیو‬‏]]),"")</f>
        <v>42265.333333333336</v>
      </c>
      <c r="U86" s="1">
        <f>IFERROR(AVERAGE(Urban[[#This Row],[‫یونیو‬‏]]:Urban[[#This Row],[‫ابریل‬‏]]),"")</f>
        <v>42545</v>
      </c>
      <c r="V86" s="1">
        <f>IFERROR(AVERAGE(Urban[[#This Row],[‫مارس‬‏]]:Urban[[#This Row],[‫ینایر‬‏]]),"")</f>
        <v>42533</v>
      </c>
    </row>
    <row r="87" spans="1:22" x14ac:dyDescent="0.35">
      <c r="A87" s="1">
        <v>-40</v>
      </c>
      <c r="B87" s="1">
        <v>25207</v>
      </c>
      <c r="C87" s="1">
        <v>24186</v>
      </c>
      <c r="D87" s="1">
        <v>23348</v>
      </c>
      <c r="E87" s="1">
        <v>23300</v>
      </c>
      <c r="F87" s="1">
        <v>23261</v>
      </c>
      <c r="G87" s="1">
        <v>23006</v>
      </c>
      <c r="H87" s="1">
        <v>22706</v>
      </c>
      <c r="I87" s="1">
        <v>22707</v>
      </c>
      <c r="J87" s="1">
        <v>22867</v>
      </c>
      <c r="K87" s="1">
        <v>26844</v>
      </c>
      <c r="L87" s="1">
        <v>26086</v>
      </c>
      <c r="M87" s="1">
        <v>25819</v>
      </c>
      <c r="N87" s="1">
        <v>25409</v>
      </c>
      <c r="O87" s="1">
        <v>24880</v>
      </c>
      <c r="P87" t="s">
        <v>25</v>
      </c>
      <c r="Q87" t="s">
        <v>315</v>
      </c>
      <c r="R87" s="1" t="s">
        <v>228</v>
      </c>
      <c r="S87" s="1">
        <f>IFERROR(AVERAGE(Urban[[#This Row],[‫دیسمبر‬‏]]:Urban[[#This Row],[‫اكتوبر‬‏]]),"")</f>
        <v>23303</v>
      </c>
      <c r="T87" s="1">
        <f>IFERROR(AVERAGE(Urban[[#This Row],[‫سبتمبر‬‏]]:Urban[[#This Row],[‫یولیو‬‏]]),"")</f>
        <v>22806.333333333332</v>
      </c>
      <c r="U87" s="1">
        <f>IFERROR(AVERAGE(Urban[[#This Row],[‫یونیو‬‏]]:Urban[[#This Row],[‫ابریل‬‏]]),"")</f>
        <v>25265.666666666668</v>
      </c>
      <c r="V87" s="1">
        <f>IFERROR(AVERAGE(Urban[[#This Row],[‫مارس‬‏]]:Urban[[#This Row],[‫ینایر‬‏]]),"")</f>
        <v>25369.333333333332</v>
      </c>
    </row>
    <row r="88" spans="1:22" x14ac:dyDescent="0.35">
      <c r="A88" s="1">
        <v>57</v>
      </c>
      <c r="B88" s="1">
        <v>31501</v>
      </c>
      <c r="C88" s="1">
        <v>33301</v>
      </c>
      <c r="D88" s="1">
        <v>33566</v>
      </c>
      <c r="E88" s="1">
        <v>33559</v>
      </c>
      <c r="F88" s="1">
        <v>33697</v>
      </c>
      <c r="G88" s="1">
        <v>33464</v>
      </c>
      <c r="H88" s="1">
        <v>33492</v>
      </c>
      <c r="I88" s="1">
        <v>33356</v>
      </c>
      <c r="J88" s="1">
        <v>33695</v>
      </c>
      <c r="K88" s="1">
        <v>33344</v>
      </c>
      <c r="L88" s="1">
        <v>32906</v>
      </c>
      <c r="M88" s="1">
        <v>33022</v>
      </c>
      <c r="N88" s="1">
        <v>32711</v>
      </c>
      <c r="O88" s="1">
        <v>32800</v>
      </c>
      <c r="P88" t="s">
        <v>25</v>
      </c>
      <c r="Q88" t="s">
        <v>316</v>
      </c>
      <c r="R88" s="1" t="s">
        <v>228</v>
      </c>
      <c r="S88" s="1">
        <f>IFERROR(AVERAGE(Urban[[#This Row],[‫دیسمبر‬‏]]:Urban[[#This Row],[‫اكتوبر‬‏]]),"")</f>
        <v>33607.333333333336</v>
      </c>
      <c r="T88" s="1">
        <f>IFERROR(AVERAGE(Urban[[#This Row],[‫سبتمبر‬‏]]:Urban[[#This Row],[‫یولیو‬‏]]),"")</f>
        <v>33437.333333333336</v>
      </c>
      <c r="U88" s="1">
        <f>IFERROR(AVERAGE(Urban[[#This Row],[‫یونیو‬‏]]:Urban[[#This Row],[‫ابریل‬‏]]),"")</f>
        <v>33315</v>
      </c>
      <c r="V88" s="1">
        <f>IFERROR(AVERAGE(Urban[[#This Row],[‫مارس‬‏]]:Urban[[#This Row],[‫ینایر‬‏]]),"")</f>
        <v>32844.333333333336</v>
      </c>
    </row>
    <row r="89" spans="1:22" x14ac:dyDescent="0.35">
      <c r="A89" s="1">
        <v>41</v>
      </c>
      <c r="B89" s="1">
        <v>33160</v>
      </c>
      <c r="C89" s="1">
        <v>34531</v>
      </c>
      <c r="D89" s="1">
        <v>34785</v>
      </c>
      <c r="E89" s="1">
        <v>34888</v>
      </c>
      <c r="F89" s="1">
        <v>34878</v>
      </c>
      <c r="G89" s="1">
        <v>34842</v>
      </c>
      <c r="H89" s="1">
        <v>34826</v>
      </c>
      <c r="I89" s="1">
        <v>34901</v>
      </c>
      <c r="J89" s="1">
        <v>34634</v>
      </c>
      <c r="K89" s="1">
        <v>34360</v>
      </c>
      <c r="L89" s="1">
        <v>34175</v>
      </c>
      <c r="M89" s="1">
        <v>34116</v>
      </c>
      <c r="N89" s="1">
        <v>33958</v>
      </c>
      <c r="O89" s="1">
        <v>34008</v>
      </c>
      <c r="P89" t="s">
        <v>25</v>
      </c>
      <c r="Q89" t="s">
        <v>317</v>
      </c>
      <c r="R89" s="1" t="s">
        <v>228</v>
      </c>
      <c r="S89" s="1">
        <f>IFERROR(AVERAGE(Urban[[#This Row],[‫دیسمبر‬‏]]:Urban[[#This Row],[‫اكتوبر‬‏]]),"")</f>
        <v>34850.333333333336</v>
      </c>
      <c r="T89" s="1">
        <f>IFERROR(AVERAGE(Urban[[#This Row],[‫سبتمبر‬‏]]:Urban[[#This Row],[‫یولیو‬‏]]),"")</f>
        <v>34856.333333333336</v>
      </c>
      <c r="U89" s="1">
        <f>IFERROR(AVERAGE(Urban[[#This Row],[‫یونیو‬‏]]:Urban[[#This Row],[‫ابریل‬‏]]),"")</f>
        <v>34389.666666666664</v>
      </c>
      <c r="V89" s="1">
        <f>IFERROR(AVERAGE(Urban[[#This Row],[‫مارس‬‏]]:Urban[[#This Row],[‫ینایر‬‏]]),"")</f>
        <v>34027.333333333336</v>
      </c>
    </row>
    <row r="90" spans="1:22" x14ac:dyDescent="0.35">
      <c r="A90" s="1">
        <v>42</v>
      </c>
      <c r="B90" s="1">
        <v>39994</v>
      </c>
      <c r="C90" s="1">
        <v>41686</v>
      </c>
      <c r="D90" s="1">
        <v>42123</v>
      </c>
      <c r="E90" s="1">
        <v>42149</v>
      </c>
      <c r="F90" s="1">
        <v>42036</v>
      </c>
      <c r="G90" s="1">
        <v>41975</v>
      </c>
      <c r="H90" s="1">
        <v>42008</v>
      </c>
      <c r="I90" s="1">
        <v>42039</v>
      </c>
      <c r="J90" s="1">
        <v>42019</v>
      </c>
      <c r="K90" s="1">
        <v>41435</v>
      </c>
      <c r="L90" s="1">
        <v>41223</v>
      </c>
      <c r="M90" s="1">
        <v>41186</v>
      </c>
      <c r="N90" s="1">
        <v>41000</v>
      </c>
      <c r="O90" s="1">
        <v>41038</v>
      </c>
      <c r="P90" t="s">
        <v>25</v>
      </c>
      <c r="Q90" t="s">
        <v>318</v>
      </c>
      <c r="R90" s="1" t="s">
        <v>228</v>
      </c>
      <c r="S90" s="1">
        <f>IFERROR(AVERAGE(Urban[[#This Row],[‫دیسمبر‬‏]]:Urban[[#This Row],[‫اكتوبر‬‏]]),"")</f>
        <v>42102.666666666664</v>
      </c>
      <c r="T90" s="1">
        <f>IFERROR(AVERAGE(Urban[[#This Row],[‫سبتمبر‬‏]]:Urban[[#This Row],[‫یولیو‬‏]]),"")</f>
        <v>42007.333333333336</v>
      </c>
      <c r="U90" s="1">
        <f>IFERROR(AVERAGE(Urban[[#This Row],[‫یونیو‬‏]]:Urban[[#This Row],[‫ابریل‬‏]]),"")</f>
        <v>41559</v>
      </c>
      <c r="V90" s="1">
        <f>IFERROR(AVERAGE(Urban[[#This Row],[‫مارس‬‏]]:Urban[[#This Row],[‫ینایر‬‏]]),"")</f>
        <v>41074.666666666664</v>
      </c>
    </row>
    <row r="91" spans="1:22" x14ac:dyDescent="0.35">
      <c r="A91" s="1">
        <v>18</v>
      </c>
      <c r="B91" s="1">
        <v>27177</v>
      </c>
      <c r="C91" s="1">
        <v>27669</v>
      </c>
      <c r="D91" s="1">
        <v>28034</v>
      </c>
      <c r="E91" s="1">
        <v>28215</v>
      </c>
      <c r="F91" s="1">
        <v>28102</v>
      </c>
      <c r="G91" s="1">
        <v>27769</v>
      </c>
      <c r="H91" s="1">
        <v>27642</v>
      </c>
      <c r="I91" s="1">
        <v>27538</v>
      </c>
      <c r="J91" s="1">
        <v>27237</v>
      </c>
      <c r="K91" s="1">
        <v>27482</v>
      </c>
      <c r="L91" s="1">
        <v>27307</v>
      </c>
      <c r="M91" s="1">
        <v>27465</v>
      </c>
      <c r="N91" s="1">
        <v>27506</v>
      </c>
      <c r="O91" s="1">
        <v>27730</v>
      </c>
      <c r="P91" t="s">
        <v>25</v>
      </c>
      <c r="Q91" t="s">
        <v>319</v>
      </c>
      <c r="R91" s="1" t="s">
        <v>228</v>
      </c>
      <c r="S91" s="1">
        <f>IFERROR(AVERAGE(Urban[[#This Row],[‫دیسمبر‬‏]]:Urban[[#This Row],[‫اكتوبر‬‏]]),"")</f>
        <v>28117</v>
      </c>
      <c r="T91" s="1">
        <f>IFERROR(AVERAGE(Urban[[#This Row],[‫سبتمبر‬‏]]:Urban[[#This Row],[‫یولیو‬‏]]),"")</f>
        <v>27649.666666666668</v>
      </c>
      <c r="U91" s="1">
        <f>IFERROR(AVERAGE(Urban[[#This Row],[‫یونیو‬‏]]:Urban[[#This Row],[‫ابریل‬‏]]),"")</f>
        <v>27342</v>
      </c>
      <c r="V91" s="1">
        <f>IFERROR(AVERAGE(Urban[[#This Row],[‫مارس‬‏]]:Urban[[#This Row],[‫ینایر‬‏]]),"")</f>
        <v>27567</v>
      </c>
    </row>
    <row r="92" spans="1:22" x14ac:dyDescent="0.35">
      <c r="A92" s="1">
        <v>9</v>
      </c>
      <c r="B92" s="1">
        <v>26991</v>
      </c>
      <c r="C92" s="1">
        <v>27242</v>
      </c>
      <c r="D92" s="1">
        <v>27764</v>
      </c>
      <c r="E92" s="1">
        <v>27808</v>
      </c>
      <c r="F92" s="1">
        <v>27676</v>
      </c>
      <c r="G92" s="1">
        <v>27456</v>
      </c>
      <c r="H92" s="1">
        <v>27314</v>
      </c>
      <c r="I92" s="1">
        <v>27209</v>
      </c>
      <c r="J92" s="1">
        <v>27005</v>
      </c>
      <c r="K92" s="1">
        <v>26874</v>
      </c>
      <c r="L92" s="1">
        <v>26745</v>
      </c>
      <c r="M92" s="1">
        <v>26796</v>
      </c>
      <c r="N92" s="1">
        <v>26996</v>
      </c>
      <c r="O92" s="1">
        <v>27264</v>
      </c>
      <c r="P92" t="s">
        <v>25</v>
      </c>
      <c r="Q92" t="s">
        <v>320</v>
      </c>
      <c r="R92" s="1" t="s">
        <v>228</v>
      </c>
      <c r="S92" s="1">
        <f>IFERROR(AVERAGE(Urban[[#This Row],[‫دیسمبر‬‏]]:Urban[[#This Row],[‫اكتوبر‬‏]]),"")</f>
        <v>27749.333333333332</v>
      </c>
      <c r="T92" s="1">
        <f>IFERROR(AVERAGE(Urban[[#This Row],[‫سبتمبر‬‏]]:Urban[[#This Row],[‫یولیو‬‏]]),"")</f>
        <v>27326.333333333332</v>
      </c>
      <c r="U92" s="1">
        <f>IFERROR(AVERAGE(Urban[[#This Row],[‫یونیو‬‏]]:Urban[[#This Row],[‫ابریل‬‏]]),"")</f>
        <v>26874.666666666668</v>
      </c>
      <c r="V92" s="1">
        <f>IFERROR(AVERAGE(Urban[[#This Row],[‫مارس‬‏]]:Urban[[#This Row],[‫ینایر‬‏]]),"")</f>
        <v>27018.666666666668</v>
      </c>
    </row>
    <row r="93" spans="1:22" x14ac:dyDescent="0.35">
      <c r="A93" s="1">
        <v>77</v>
      </c>
      <c r="B93" s="1">
        <v>50095</v>
      </c>
      <c r="C93" s="1">
        <v>53967</v>
      </c>
      <c r="D93" s="1">
        <v>55913</v>
      </c>
      <c r="E93" s="1">
        <v>55316</v>
      </c>
      <c r="F93" s="1">
        <v>54901</v>
      </c>
      <c r="G93" s="1">
        <v>54211</v>
      </c>
      <c r="H93" s="1">
        <v>54095</v>
      </c>
      <c r="I93" s="1">
        <v>53715</v>
      </c>
      <c r="J93" s="1">
        <v>54229</v>
      </c>
      <c r="K93" s="1">
        <v>53625</v>
      </c>
      <c r="L93" s="1">
        <v>53265</v>
      </c>
      <c r="M93" s="1">
        <v>53299</v>
      </c>
      <c r="N93" s="1">
        <v>52934</v>
      </c>
      <c r="O93" s="1">
        <v>52101</v>
      </c>
      <c r="P93" t="s">
        <v>25</v>
      </c>
      <c r="Q93" t="s">
        <v>321</v>
      </c>
      <c r="R93" s="1" t="s">
        <v>228</v>
      </c>
      <c r="S93" s="1">
        <f>IFERROR(AVERAGE(Urban[[#This Row],[‫دیسمبر‬‏]]:Urban[[#This Row],[‫اكتوبر‬‏]]),"")</f>
        <v>55376.666666666664</v>
      </c>
      <c r="T93" s="1">
        <f>IFERROR(AVERAGE(Urban[[#This Row],[‫سبتمبر‬‏]]:Urban[[#This Row],[‫یولیو‬‏]]),"")</f>
        <v>54007</v>
      </c>
      <c r="U93" s="1">
        <f>IFERROR(AVERAGE(Urban[[#This Row],[‫یونیو‬‏]]:Urban[[#This Row],[‫ابریل‬‏]]),"")</f>
        <v>53706.333333333336</v>
      </c>
      <c r="V93" s="1">
        <f>IFERROR(AVERAGE(Urban[[#This Row],[‫مارس‬‏]]:Urban[[#This Row],[‫ینایر‬‏]]),"")</f>
        <v>52778</v>
      </c>
    </row>
    <row r="94" spans="1:22" x14ac:dyDescent="0.35">
      <c r="A94" s="1">
        <v>143</v>
      </c>
      <c r="B94" s="1">
        <v>9929</v>
      </c>
      <c r="C94" s="1">
        <v>11351</v>
      </c>
      <c r="D94" s="1">
        <v>12260</v>
      </c>
      <c r="E94" s="1">
        <v>12146</v>
      </c>
      <c r="F94" s="1">
        <v>12050</v>
      </c>
      <c r="G94" s="1">
        <v>11752</v>
      </c>
      <c r="H94" s="1">
        <v>11536</v>
      </c>
      <c r="I94" s="1">
        <v>11488</v>
      </c>
      <c r="J94" s="1">
        <v>11201</v>
      </c>
      <c r="K94" s="1">
        <v>11005</v>
      </c>
      <c r="L94" s="1">
        <v>10716</v>
      </c>
      <c r="M94" s="1">
        <v>10702</v>
      </c>
      <c r="N94" s="1">
        <v>10643</v>
      </c>
      <c r="O94" s="1">
        <v>10715</v>
      </c>
      <c r="P94" t="s">
        <v>322</v>
      </c>
      <c r="Q94" t="s">
        <v>323</v>
      </c>
      <c r="R94" s="1" t="s">
        <v>228</v>
      </c>
      <c r="S94" s="1">
        <f>IFERROR(AVERAGE(Urban[[#This Row],[‫دیسمبر‬‏]]:Urban[[#This Row],[‫اكتوبر‬‏]]),"")</f>
        <v>12152</v>
      </c>
      <c r="T94" s="1">
        <f>IFERROR(AVERAGE(Urban[[#This Row],[‫سبتمبر‬‏]]:Urban[[#This Row],[‫یولیو‬‏]]),"")</f>
        <v>11592</v>
      </c>
      <c r="U94" s="1">
        <f>IFERROR(AVERAGE(Urban[[#This Row],[‫یونیو‬‏]]:Urban[[#This Row],[‫ابریل‬‏]]),"")</f>
        <v>10974</v>
      </c>
      <c r="V94" s="1">
        <f>IFERROR(AVERAGE(Urban[[#This Row],[‫مارس‬‏]]:Urban[[#This Row],[‫ینایر‬‏]]),"")</f>
        <v>10686.666666666666</v>
      </c>
    </row>
    <row r="95" spans="1:22" x14ac:dyDescent="0.35">
      <c r="A95" s="1">
        <v>120</v>
      </c>
      <c r="B95" s="1">
        <v>26049</v>
      </c>
      <c r="C95" s="1">
        <v>29179</v>
      </c>
      <c r="D95" s="1">
        <v>30168</v>
      </c>
      <c r="E95" s="1">
        <v>29873</v>
      </c>
      <c r="F95" s="1">
        <v>29800</v>
      </c>
      <c r="G95" s="1">
        <v>29382</v>
      </c>
      <c r="H95" s="1">
        <v>29290</v>
      </c>
      <c r="I95" s="1">
        <v>29178</v>
      </c>
      <c r="J95" s="1">
        <v>29340</v>
      </c>
      <c r="K95" s="1">
        <v>28826</v>
      </c>
      <c r="L95" s="1">
        <v>28681</v>
      </c>
      <c r="M95" s="1">
        <v>28690</v>
      </c>
      <c r="N95" s="1">
        <v>28528</v>
      </c>
      <c r="O95" s="1">
        <v>28397</v>
      </c>
      <c r="P95" t="s">
        <v>25</v>
      </c>
      <c r="Q95" t="s">
        <v>324</v>
      </c>
      <c r="R95" s="1" t="s">
        <v>228</v>
      </c>
      <c r="S95" s="1">
        <f>IFERROR(AVERAGE(Urban[[#This Row],[‫دیسمبر‬‏]]:Urban[[#This Row],[‫اكتوبر‬‏]]),"")</f>
        <v>29947</v>
      </c>
      <c r="T95" s="1">
        <f>IFERROR(AVERAGE(Urban[[#This Row],[‫سبتمبر‬‏]]:Urban[[#This Row],[‫یولیو‬‏]]),"")</f>
        <v>29283.333333333332</v>
      </c>
      <c r="U95" s="1">
        <f>IFERROR(AVERAGE(Urban[[#This Row],[‫یونیو‬‏]]:Urban[[#This Row],[‫ابریل‬‏]]),"")</f>
        <v>28949</v>
      </c>
      <c r="V95" s="1">
        <f>IFERROR(AVERAGE(Urban[[#This Row],[‫مارس‬‏]]:Urban[[#This Row],[‫ینایر‬‏]]),"")</f>
        <v>28538.333333333332</v>
      </c>
    </row>
    <row r="96" spans="1:22" x14ac:dyDescent="0.35">
      <c r="A96" s="1">
        <v>76</v>
      </c>
      <c r="B96" s="1">
        <v>14618</v>
      </c>
      <c r="C96" s="1">
        <v>15730</v>
      </c>
      <c r="D96" s="1">
        <v>16101</v>
      </c>
      <c r="E96" s="1">
        <v>16070</v>
      </c>
      <c r="F96" s="1">
        <v>15964</v>
      </c>
      <c r="G96" s="1">
        <v>15848</v>
      </c>
      <c r="H96" s="1">
        <v>15809</v>
      </c>
      <c r="I96" s="1">
        <v>15830</v>
      </c>
      <c r="J96" s="1">
        <v>15880</v>
      </c>
      <c r="K96" s="1">
        <v>15613</v>
      </c>
      <c r="L96" s="1">
        <v>15524</v>
      </c>
      <c r="M96" s="1">
        <v>15463</v>
      </c>
      <c r="N96" s="1">
        <v>15350</v>
      </c>
      <c r="O96" s="1">
        <v>15304</v>
      </c>
      <c r="P96" t="s">
        <v>25</v>
      </c>
      <c r="Q96" t="s">
        <v>325</v>
      </c>
      <c r="R96" s="1" t="s">
        <v>228</v>
      </c>
      <c r="S96" s="1">
        <f>IFERROR(AVERAGE(Urban[[#This Row],[‫دیسمبر‬‏]]:Urban[[#This Row],[‫اكتوبر‬‏]]),"")</f>
        <v>16045</v>
      </c>
      <c r="T96" s="1">
        <f>IFERROR(AVERAGE(Urban[[#This Row],[‫سبتمبر‬‏]]:Urban[[#This Row],[‫یولیو‬‏]]),"")</f>
        <v>15829</v>
      </c>
      <c r="U96" s="1">
        <f>IFERROR(AVERAGE(Urban[[#This Row],[‫یونیو‬‏]]:Urban[[#This Row],[‫ابریل‬‏]]),"")</f>
        <v>15672.333333333334</v>
      </c>
      <c r="V96" s="1">
        <f>IFERROR(AVERAGE(Urban[[#This Row],[‫مارس‬‏]]:Urban[[#This Row],[‫ینایر‬‏]]),"")</f>
        <v>15372.333333333334</v>
      </c>
    </row>
    <row r="97" spans="1:22" x14ac:dyDescent="0.35">
      <c r="A97" s="1">
        <v>110</v>
      </c>
      <c r="B97" s="1">
        <v>27003</v>
      </c>
      <c r="C97" s="1">
        <v>29987</v>
      </c>
      <c r="D97" s="1">
        <v>30732</v>
      </c>
      <c r="E97" s="1">
        <v>30625</v>
      </c>
      <c r="F97" s="1">
        <v>30291</v>
      </c>
      <c r="G97" s="1">
        <v>30086</v>
      </c>
      <c r="H97" s="1">
        <v>30256</v>
      </c>
      <c r="I97" s="1">
        <v>30291</v>
      </c>
      <c r="J97" s="1">
        <v>30301</v>
      </c>
      <c r="K97" s="1">
        <v>29846</v>
      </c>
      <c r="L97" s="1">
        <v>29602</v>
      </c>
      <c r="M97" s="1">
        <v>29488</v>
      </c>
      <c r="N97" s="1">
        <v>29277</v>
      </c>
      <c r="O97" s="1">
        <v>29049</v>
      </c>
      <c r="P97" t="s">
        <v>326</v>
      </c>
      <c r="Q97" t="s">
        <v>327</v>
      </c>
      <c r="R97" s="1" t="s">
        <v>228</v>
      </c>
      <c r="S97" s="1">
        <f>IFERROR(AVERAGE(Urban[[#This Row],[‫دیسمبر‬‏]]:Urban[[#This Row],[‫اكتوبر‬‏]]),"")</f>
        <v>30549.333333333332</v>
      </c>
      <c r="T97" s="1">
        <f>IFERROR(AVERAGE(Urban[[#This Row],[‫سبتمبر‬‏]]:Urban[[#This Row],[‫یولیو‬‏]]),"")</f>
        <v>30211</v>
      </c>
      <c r="U97" s="1">
        <f>IFERROR(AVERAGE(Urban[[#This Row],[‫یونیو‬‏]]:Urban[[#This Row],[‫ابریل‬‏]]),"")</f>
        <v>29916.333333333332</v>
      </c>
      <c r="V97" s="1">
        <f>IFERROR(AVERAGE(Urban[[#This Row],[‫مارس‬‏]]:Urban[[#This Row],[‫ینایر‬‏]]),"")</f>
        <v>29271.333333333332</v>
      </c>
    </row>
    <row r="98" spans="1:22" x14ac:dyDescent="0.35">
      <c r="A98" s="1">
        <v>42</v>
      </c>
      <c r="B98" s="1">
        <v>16239</v>
      </c>
      <c r="C98" s="1">
        <v>16920</v>
      </c>
      <c r="D98" s="1">
        <v>16796</v>
      </c>
      <c r="E98" s="1">
        <v>16896</v>
      </c>
      <c r="F98" s="1">
        <v>16804</v>
      </c>
      <c r="G98" s="1">
        <v>16791</v>
      </c>
      <c r="H98" s="1">
        <v>16566</v>
      </c>
      <c r="I98" s="1">
        <v>16748</v>
      </c>
      <c r="J98" s="1">
        <v>16965</v>
      </c>
      <c r="K98" s="1">
        <v>17248</v>
      </c>
      <c r="L98" s="1">
        <v>17201</v>
      </c>
      <c r="M98" s="1">
        <v>17232</v>
      </c>
      <c r="N98" s="1">
        <v>17040</v>
      </c>
      <c r="O98" s="1">
        <v>16749</v>
      </c>
      <c r="P98" t="s">
        <v>25</v>
      </c>
      <c r="Q98" t="s">
        <v>328</v>
      </c>
      <c r="R98" s="1" t="s">
        <v>228</v>
      </c>
      <c r="S98" s="1">
        <f>IFERROR(AVERAGE(Urban[[#This Row],[‫دیسمبر‬‏]]:Urban[[#This Row],[‫اكتوبر‬‏]]),"")</f>
        <v>16832</v>
      </c>
      <c r="T98" s="1">
        <f>IFERROR(AVERAGE(Urban[[#This Row],[‫سبتمبر‬‏]]:Urban[[#This Row],[‫یولیو‬‏]]),"")</f>
        <v>16701.666666666668</v>
      </c>
      <c r="U98" s="1">
        <f>IFERROR(AVERAGE(Urban[[#This Row],[‫یونیو‬‏]]:Urban[[#This Row],[‫ابریل‬‏]]),"")</f>
        <v>17138</v>
      </c>
      <c r="V98" s="1">
        <f>IFERROR(AVERAGE(Urban[[#This Row],[‫مارس‬‏]]:Urban[[#This Row],[‫ینایر‬‏]]),"")</f>
        <v>17007</v>
      </c>
    </row>
    <row r="99" spans="1:22" x14ac:dyDescent="0.35">
      <c r="A99" s="1">
        <v>17</v>
      </c>
      <c r="B99" s="1">
        <v>12464</v>
      </c>
      <c r="C99" s="1">
        <v>12681</v>
      </c>
      <c r="D99" s="1">
        <v>11847</v>
      </c>
      <c r="E99" s="1">
        <v>12441</v>
      </c>
      <c r="F99" s="1">
        <v>12772</v>
      </c>
      <c r="G99" s="1">
        <v>12666</v>
      </c>
      <c r="H99" s="1">
        <v>12638</v>
      </c>
      <c r="I99" s="1">
        <v>12479</v>
      </c>
      <c r="J99" s="1">
        <v>12672</v>
      </c>
      <c r="K99" s="1">
        <v>12788</v>
      </c>
      <c r="L99" s="1">
        <v>13014</v>
      </c>
      <c r="M99" s="1">
        <v>13282</v>
      </c>
      <c r="N99" s="1">
        <v>12900</v>
      </c>
      <c r="O99" s="1">
        <v>12670</v>
      </c>
      <c r="P99" t="s">
        <v>25</v>
      </c>
      <c r="Q99" t="s">
        <v>329</v>
      </c>
      <c r="R99" s="1" t="s">
        <v>228</v>
      </c>
      <c r="S99" s="1">
        <f>IFERROR(AVERAGE(Urban[[#This Row],[‫دیسمبر‬‏]]:Urban[[#This Row],[‫اكتوبر‬‏]]),"")</f>
        <v>12353.333333333334</v>
      </c>
      <c r="T99" s="1">
        <f>IFERROR(AVERAGE(Urban[[#This Row],[‫سبتمبر‬‏]]:Urban[[#This Row],[‫یولیو‬‏]]),"")</f>
        <v>12594.333333333334</v>
      </c>
      <c r="U99" s="1">
        <f>IFERROR(AVERAGE(Urban[[#This Row],[‫یونیو‬‏]]:Urban[[#This Row],[‫ابریل‬‏]]),"")</f>
        <v>12824.666666666666</v>
      </c>
      <c r="V99" s="1">
        <f>IFERROR(AVERAGE(Urban[[#This Row],[‫مارس‬‏]]:Urban[[#This Row],[‫ینایر‬‏]]),"")</f>
        <v>12950.666666666666</v>
      </c>
    </row>
    <row r="100" spans="1:22" x14ac:dyDescent="0.35">
      <c r="A100" s="1">
        <v>-43</v>
      </c>
      <c r="B100" s="1">
        <v>9197</v>
      </c>
      <c r="C100" s="1">
        <v>8797</v>
      </c>
      <c r="D100" s="1">
        <v>7208</v>
      </c>
      <c r="E100" s="1">
        <v>7432</v>
      </c>
      <c r="F100" s="1">
        <v>7705</v>
      </c>
      <c r="G100" s="1">
        <v>7757</v>
      </c>
      <c r="H100" s="1">
        <v>7702</v>
      </c>
      <c r="I100" s="1">
        <v>8009</v>
      </c>
      <c r="J100" s="1">
        <v>9072</v>
      </c>
      <c r="K100" s="1">
        <v>10237</v>
      </c>
      <c r="L100" s="1">
        <v>9936</v>
      </c>
      <c r="M100" s="1">
        <v>10749</v>
      </c>
      <c r="N100" s="1">
        <v>10180</v>
      </c>
      <c r="O100" s="1">
        <v>9579</v>
      </c>
      <c r="P100" t="s">
        <v>25</v>
      </c>
      <c r="Q100" t="s">
        <v>330</v>
      </c>
      <c r="R100" s="1" t="s">
        <v>228</v>
      </c>
      <c r="S100" s="1">
        <f>IFERROR(AVERAGE(Urban[[#This Row],[‫دیسمبر‬‏]]:Urban[[#This Row],[‫اكتوبر‬‏]]),"")</f>
        <v>7448.333333333333</v>
      </c>
      <c r="T100" s="1">
        <f>IFERROR(AVERAGE(Urban[[#This Row],[‫سبتمبر‬‏]]:Urban[[#This Row],[‫یولیو‬‏]]),"")</f>
        <v>7822.666666666667</v>
      </c>
      <c r="U100" s="1">
        <f>IFERROR(AVERAGE(Urban[[#This Row],[‫یونیو‬‏]]:Urban[[#This Row],[‫ابریل‬‏]]),"")</f>
        <v>9748.3333333333339</v>
      </c>
      <c r="V100" s="1">
        <f>IFERROR(AVERAGE(Urban[[#This Row],[‫مارس‬‏]]:Urban[[#This Row],[‫ینایر‬‏]]),"")</f>
        <v>10169.333333333334</v>
      </c>
    </row>
    <row r="101" spans="1:22" x14ac:dyDescent="0.35">
      <c r="A101" s="1">
        <v>43</v>
      </c>
      <c r="B101" s="1">
        <v>13897</v>
      </c>
      <c r="C101" s="1">
        <v>14500</v>
      </c>
      <c r="D101" s="1">
        <v>14301</v>
      </c>
      <c r="E101" s="1">
        <v>14376</v>
      </c>
      <c r="F101" s="1">
        <v>14498</v>
      </c>
      <c r="G101" s="1">
        <v>14377</v>
      </c>
      <c r="H101" s="1">
        <v>14339</v>
      </c>
      <c r="I101" s="1">
        <v>14344</v>
      </c>
      <c r="J101" s="1">
        <v>14526</v>
      </c>
      <c r="K101" s="1">
        <v>14638</v>
      </c>
      <c r="L101" s="1">
        <v>14813</v>
      </c>
      <c r="M101" s="1">
        <v>15031</v>
      </c>
      <c r="N101" s="1">
        <v>14546</v>
      </c>
      <c r="O101" s="1">
        <v>14217</v>
      </c>
      <c r="P101" t="s">
        <v>25</v>
      </c>
      <c r="Q101" t="s">
        <v>331</v>
      </c>
      <c r="R101" s="1" t="s">
        <v>228</v>
      </c>
      <c r="S101" s="1">
        <f>IFERROR(AVERAGE(Urban[[#This Row],[‫دیسمبر‬‏]]:Urban[[#This Row],[‫اكتوبر‬‏]]),"")</f>
        <v>14391.666666666666</v>
      </c>
      <c r="T101" s="1">
        <f>IFERROR(AVERAGE(Urban[[#This Row],[‫سبتمبر‬‏]]:Urban[[#This Row],[‫یولیو‬‏]]),"")</f>
        <v>14353.333333333334</v>
      </c>
      <c r="U101" s="1">
        <f>IFERROR(AVERAGE(Urban[[#This Row],[‫یونیو‬‏]]:Urban[[#This Row],[‫ابریل‬‏]]),"")</f>
        <v>14659</v>
      </c>
      <c r="V101" s="1">
        <f>IFERROR(AVERAGE(Urban[[#This Row],[‫مارس‬‏]]:Urban[[#This Row],[‫ینایر‬‏]]),"")</f>
        <v>14598</v>
      </c>
    </row>
    <row r="102" spans="1:22" x14ac:dyDescent="0.35">
      <c r="A102" s="1">
        <v>35</v>
      </c>
      <c r="B102" s="1">
        <v>13761</v>
      </c>
      <c r="C102" s="1">
        <v>14248</v>
      </c>
      <c r="D102" s="1">
        <v>14055</v>
      </c>
      <c r="E102" s="1">
        <v>14226</v>
      </c>
      <c r="F102" s="1">
        <v>14291</v>
      </c>
      <c r="G102" s="1">
        <v>14100</v>
      </c>
      <c r="H102" s="1">
        <v>14074</v>
      </c>
      <c r="I102" s="1">
        <v>14063</v>
      </c>
      <c r="J102" s="1">
        <v>14261</v>
      </c>
      <c r="K102" s="1">
        <v>14422</v>
      </c>
      <c r="L102" s="1">
        <v>14530</v>
      </c>
      <c r="M102" s="1">
        <v>14763</v>
      </c>
      <c r="N102" s="1">
        <v>14256</v>
      </c>
      <c r="O102" s="1">
        <v>13931</v>
      </c>
      <c r="P102" t="s">
        <v>25</v>
      </c>
      <c r="Q102" t="s">
        <v>332</v>
      </c>
      <c r="R102" s="1" t="s">
        <v>228</v>
      </c>
      <c r="S102" s="1">
        <f>IFERROR(AVERAGE(Urban[[#This Row],[‫دیسمبر‬‏]]:Urban[[#This Row],[‫اكتوبر‬‏]]),"")</f>
        <v>14190.666666666666</v>
      </c>
      <c r="T102" s="1">
        <f>IFERROR(AVERAGE(Urban[[#This Row],[‫سبتمبر‬‏]]:Urban[[#This Row],[‫یولیو‬‏]]),"")</f>
        <v>14079</v>
      </c>
      <c r="U102" s="1">
        <f>IFERROR(AVERAGE(Urban[[#This Row],[‫یونیو‬‏]]:Urban[[#This Row],[‫ابریل‬‏]]),"")</f>
        <v>14404.333333333334</v>
      </c>
      <c r="V102" s="1">
        <f>IFERROR(AVERAGE(Urban[[#This Row],[‫مارس‬‏]]:Urban[[#This Row],[‫ینایر‬‏]]),"")</f>
        <v>14316.666666666666</v>
      </c>
    </row>
    <row r="103" spans="1:22" x14ac:dyDescent="0.35">
      <c r="A103" s="1">
        <v>54</v>
      </c>
      <c r="B103" s="1">
        <v>12820</v>
      </c>
      <c r="C103" s="1">
        <v>13510</v>
      </c>
      <c r="D103" s="1">
        <v>13685</v>
      </c>
      <c r="E103" s="1">
        <v>13713</v>
      </c>
      <c r="F103" s="1">
        <v>13610</v>
      </c>
      <c r="G103" s="1">
        <v>13447</v>
      </c>
      <c r="H103" s="1">
        <v>13298</v>
      </c>
      <c r="I103" s="1">
        <v>13357</v>
      </c>
      <c r="J103" s="1">
        <v>13342</v>
      </c>
      <c r="K103" s="1">
        <v>13379</v>
      </c>
      <c r="L103" s="1">
        <v>13574</v>
      </c>
      <c r="M103" s="1">
        <v>13748</v>
      </c>
      <c r="N103" s="1">
        <v>13529</v>
      </c>
      <c r="O103" s="1">
        <v>13433</v>
      </c>
      <c r="P103" t="s">
        <v>25</v>
      </c>
      <c r="Q103" t="s">
        <v>333</v>
      </c>
      <c r="R103" s="1" t="s">
        <v>228</v>
      </c>
      <c r="S103" s="1">
        <f>IFERROR(AVERAGE(Urban[[#This Row],[‫دیسمبر‬‏]]:Urban[[#This Row],[‫اكتوبر‬‏]]),"")</f>
        <v>13669.333333333334</v>
      </c>
      <c r="T103" s="1">
        <f>IFERROR(AVERAGE(Urban[[#This Row],[‫سبتمبر‬‏]]:Urban[[#This Row],[‫یولیو‬‏]]),"")</f>
        <v>13367.333333333334</v>
      </c>
      <c r="U103" s="1">
        <f>IFERROR(AVERAGE(Urban[[#This Row],[‫یونیو‬‏]]:Urban[[#This Row],[‫ابریل‬‏]]),"")</f>
        <v>13431.666666666666</v>
      </c>
      <c r="V103" s="1">
        <f>IFERROR(AVERAGE(Urban[[#This Row],[‫مارس‬‏]]:Urban[[#This Row],[‫ینایر‬‏]]),"")</f>
        <v>13570</v>
      </c>
    </row>
    <row r="104" spans="1:22" x14ac:dyDescent="0.35">
      <c r="A104" s="1">
        <v>137</v>
      </c>
      <c r="B104" s="1">
        <v>15089</v>
      </c>
      <c r="C104" s="1">
        <v>17159</v>
      </c>
      <c r="D104" s="1">
        <v>17630</v>
      </c>
      <c r="E104" s="1">
        <v>17741</v>
      </c>
      <c r="F104" s="1">
        <v>17715</v>
      </c>
      <c r="G104" s="1">
        <v>17378</v>
      </c>
      <c r="H104" s="1">
        <v>17365</v>
      </c>
      <c r="I104" s="1">
        <v>17227</v>
      </c>
      <c r="J104" s="1">
        <v>17283</v>
      </c>
      <c r="K104" s="1">
        <v>17156</v>
      </c>
      <c r="L104" s="1">
        <v>17044</v>
      </c>
      <c r="M104" s="1">
        <v>16817</v>
      </c>
      <c r="N104" s="1">
        <v>16428</v>
      </c>
      <c r="O104" s="1">
        <v>16122</v>
      </c>
      <c r="P104" t="s">
        <v>111</v>
      </c>
      <c r="Q104" t="s">
        <v>334</v>
      </c>
      <c r="R104" s="1" t="s">
        <v>228</v>
      </c>
      <c r="S104" s="1">
        <f>IFERROR(AVERAGE(Urban[[#This Row],[‫دیسمبر‬‏]]:Urban[[#This Row],[‫اكتوبر‬‏]]),"")</f>
        <v>17695.333333333332</v>
      </c>
      <c r="T104" s="1">
        <f>IFERROR(AVERAGE(Urban[[#This Row],[‫سبتمبر‬‏]]:Urban[[#This Row],[‫یولیو‬‏]]),"")</f>
        <v>17323.333333333332</v>
      </c>
      <c r="U104" s="1">
        <f>IFERROR(AVERAGE(Urban[[#This Row],[‫یونیو‬‏]]:Urban[[#This Row],[‫ابریل‬‏]]),"")</f>
        <v>17161</v>
      </c>
      <c r="V104" s="1">
        <f>IFERROR(AVERAGE(Urban[[#This Row],[‫مارس‬‏]]:Urban[[#This Row],[‫ینایر‬‏]]),"")</f>
        <v>16455.666666666668</v>
      </c>
    </row>
    <row r="105" spans="1:22" x14ac:dyDescent="0.35">
      <c r="A105" s="1">
        <v>-24</v>
      </c>
      <c r="B105" s="1">
        <v>551</v>
      </c>
      <c r="C105" s="1">
        <v>537</v>
      </c>
      <c r="D105" s="1">
        <v>501</v>
      </c>
      <c r="E105" s="1">
        <v>527</v>
      </c>
      <c r="F105" s="1">
        <v>552</v>
      </c>
      <c r="G105" s="1">
        <v>526</v>
      </c>
      <c r="H105" s="1">
        <v>505</v>
      </c>
      <c r="I105" s="1">
        <v>502</v>
      </c>
      <c r="J105" s="1">
        <v>511</v>
      </c>
      <c r="K105" s="1">
        <v>505</v>
      </c>
      <c r="L105" s="1">
        <v>570</v>
      </c>
      <c r="M105" s="1">
        <v>587</v>
      </c>
      <c r="N105" s="1">
        <v>584</v>
      </c>
      <c r="O105" s="1">
        <v>579</v>
      </c>
      <c r="P105" t="s">
        <v>267</v>
      </c>
      <c r="Q105" t="s">
        <v>335</v>
      </c>
      <c r="R105" s="1" t="s">
        <v>228</v>
      </c>
      <c r="S105" s="1">
        <f>IFERROR(AVERAGE(Urban[[#This Row],[‫دیسمبر‬‏]]:Urban[[#This Row],[‫اكتوبر‬‏]]),"")</f>
        <v>526.66666666666663</v>
      </c>
      <c r="T105" s="1">
        <f>IFERROR(AVERAGE(Urban[[#This Row],[‫سبتمبر‬‏]]:Urban[[#This Row],[‫یولیو‬‏]]),"")</f>
        <v>511</v>
      </c>
      <c r="U105" s="1">
        <f>IFERROR(AVERAGE(Urban[[#This Row],[‫یونیو‬‏]]:Urban[[#This Row],[‫ابریل‬‏]]),"")</f>
        <v>528.66666666666663</v>
      </c>
      <c r="V105" s="1">
        <f>IFERROR(AVERAGE(Urban[[#This Row],[‫مارس‬‏]]:Urban[[#This Row],[‫ینایر‬‏]]),"")</f>
        <v>583.33333333333337</v>
      </c>
    </row>
    <row r="106" spans="1:22" x14ac:dyDescent="0.35">
      <c r="A106" s="1">
        <v>-26</v>
      </c>
      <c r="B106" s="1">
        <v>591</v>
      </c>
      <c r="C106" s="1">
        <v>576</v>
      </c>
      <c r="D106" s="1">
        <v>544</v>
      </c>
      <c r="E106" s="1">
        <v>565</v>
      </c>
      <c r="F106" s="1">
        <v>591</v>
      </c>
      <c r="G106" s="1">
        <v>564</v>
      </c>
      <c r="H106" s="1">
        <v>543</v>
      </c>
      <c r="I106" s="1">
        <v>538</v>
      </c>
      <c r="J106" s="1">
        <v>549</v>
      </c>
      <c r="K106" s="1">
        <v>549</v>
      </c>
      <c r="L106" s="1">
        <v>605</v>
      </c>
      <c r="M106" s="1">
        <v>622</v>
      </c>
      <c r="N106" s="1">
        <v>622</v>
      </c>
      <c r="O106" s="1">
        <v>615</v>
      </c>
      <c r="P106" t="s">
        <v>267</v>
      </c>
      <c r="Q106" t="s">
        <v>336</v>
      </c>
      <c r="R106" s="1" t="s">
        <v>228</v>
      </c>
      <c r="S106" s="1">
        <f>IFERROR(AVERAGE(Urban[[#This Row],[‫دیسمبر‬‏]]:Urban[[#This Row],[‫اكتوبر‬‏]]),"")</f>
        <v>566.66666666666663</v>
      </c>
      <c r="T106" s="1">
        <f>IFERROR(AVERAGE(Urban[[#This Row],[‫سبتمبر‬‏]]:Urban[[#This Row],[‫یولیو‬‏]]),"")</f>
        <v>548.33333333333337</v>
      </c>
      <c r="U106" s="1">
        <f>IFERROR(AVERAGE(Urban[[#This Row],[‫یونیو‬‏]]:Urban[[#This Row],[‫ابریل‬‏]]),"")</f>
        <v>567.66666666666663</v>
      </c>
      <c r="V106" s="1">
        <f>IFERROR(AVERAGE(Urban[[#This Row],[‫مارس‬‏]]:Urban[[#This Row],[‫ینایر‬‏]]),"")</f>
        <v>619.66666666666663</v>
      </c>
    </row>
    <row r="107" spans="1:22" x14ac:dyDescent="0.35">
      <c r="A107" s="1">
        <v>-25</v>
      </c>
      <c r="B107" s="1">
        <v>556</v>
      </c>
      <c r="C107" s="1">
        <v>542</v>
      </c>
      <c r="D107" s="1">
        <v>503</v>
      </c>
      <c r="E107" s="1">
        <v>531</v>
      </c>
      <c r="F107" s="1">
        <v>557</v>
      </c>
      <c r="G107" s="1">
        <v>532</v>
      </c>
      <c r="H107" s="1">
        <v>509</v>
      </c>
      <c r="I107" s="1">
        <v>506</v>
      </c>
      <c r="J107" s="1">
        <v>514</v>
      </c>
      <c r="K107" s="1">
        <v>509</v>
      </c>
      <c r="L107" s="1">
        <v>575</v>
      </c>
      <c r="M107" s="1">
        <v>592</v>
      </c>
      <c r="N107" s="1">
        <v>589</v>
      </c>
      <c r="O107" s="1">
        <v>585</v>
      </c>
      <c r="P107" t="s">
        <v>267</v>
      </c>
      <c r="Q107" t="s">
        <v>337</v>
      </c>
      <c r="R107" s="1" t="s">
        <v>228</v>
      </c>
      <c r="S107" s="1">
        <f>IFERROR(AVERAGE(Urban[[#This Row],[‫دیسمبر‬‏]]:Urban[[#This Row],[‫اكتوبر‬‏]]),"")</f>
        <v>530.33333333333337</v>
      </c>
      <c r="T107" s="1">
        <f>IFERROR(AVERAGE(Urban[[#This Row],[‫سبتمبر‬‏]]:Urban[[#This Row],[‫یولیو‬‏]]),"")</f>
        <v>515.66666666666663</v>
      </c>
      <c r="U107" s="1">
        <f>IFERROR(AVERAGE(Urban[[#This Row],[‫یونیو‬‏]]:Urban[[#This Row],[‫ابریل‬‏]]),"")</f>
        <v>532.66666666666663</v>
      </c>
      <c r="V107" s="1">
        <f>IFERROR(AVERAGE(Urban[[#This Row],[‫مارس‬‏]]:Urban[[#This Row],[‫ینایر‬‏]]),"")</f>
        <v>588.66666666666663</v>
      </c>
    </row>
    <row r="108" spans="1:22" x14ac:dyDescent="0.35">
      <c r="A108" s="1">
        <v>47</v>
      </c>
      <c r="B108" s="1">
        <v>16238</v>
      </c>
      <c r="C108" s="1">
        <v>17010</v>
      </c>
      <c r="D108" s="1">
        <v>16391</v>
      </c>
      <c r="E108" s="1">
        <v>16369</v>
      </c>
      <c r="F108" s="1">
        <v>16726</v>
      </c>
      <c r="G108" s="1">
        <v>16680</v>
      </c>
      <c r="H108" s="1">
        <v>16475</v>
      </c>
      <c r="I108" s="1">
        <v>16728</v>
      </c>
      <c r="J108" s="1">
        <v>17342</v>
      </c>
      <c r="K108" s="1">
        <v>17839</v>
      </c>
      <c r="L108" s="1">
        <v>17343</v>
      </c>
      <c r="M108" s="1">
        <v>17655</v>
      </c>
      <c r="N108" s="1">
        <v>17524</v>
      </c>
      <c r="O108" s="1">
        <v>17043</v>
      </c>
      <c r="P108" t="s">
        <v>25</v>
      </c>
      <c r="Q108" t="s">
        <v>338</v>
      </c>
      <c r="R108" s="1" t="s">
        <v>228</v>
      </c>
      <c r="S108" s="1">
        <f>IFERROR(AVERAGE(Urban[[#This Row],[‫دیسمبر‬‏]]:Urban[[#This Row],[‫اكتوبر‬‏]]),"")</f>
        <v>16495.333333333332</v>
      </c>
      <c r="T108" s="1">
        <f>IFERROR(AVERAGE(Urban[[#This Row],[‫سبتمبر‬‏]]:Urban[[#This Row],[‫یولیو‬‏]]),"")</f>
        <v>16627.666666666668</v>
      </c>
      <c r="U108" s="1">
        <f>IFERROR(AVERAGE(Urban[[#This Row],[‫یونیو‬‏]]:Urban[[#This Row],[‫ابریل‬‏]]),"")</f>
        <v>17508</v>
      </c>
      <c r="V108" s="1">
        <f>IFERROR(AVERAGE(Urban[[#This Row],[‫مارس‬‏]]:Urban[[#This Row],[‫ینایر‬‏]]),"")</f>
        <v>17407.333333333332</v>
      </c>
    </row>
    <row r="109" spans="1:22" x14ac:dyDescent="0.35">
      <c r="A109" s="1">
        <v>-33</v>
      </c>
      <c r="B109" s="1">
        <v>10397</v>
      </c>
      <c r="C109" s="1">
        <v>10052</v>
      </c>
      <c r="D109" s="1">
        <v>8384</v>
      </c>
      <c r="E109" s="1">
        <v>8565</v>
      </c>
      <c r="F109" s="1">
        <v>8961</v>
      </c>
      <c r="G109" s="1">
        <v>9051</v>
      </c>
      <c r="H109" s="1">
        <v>9063</v>
      </c>
      <c r="I109" s="1">
        <v>9499</v>
      </c>
      <c r="J109" s="1">
        <v>10448</v>
      </c>
      <c r="K109" s="1">
        <v>11332</v>
      </c>
      <c r="L109" s="1">
        <v>11214</v>
      </c>
      <c r="M109" s="1">
        <v>11911</v>
      </c>
      <c r="N109" s="1">
        <v>11456</v>
      </c>
      <c r="O109" s="1">
        <v>10736</v>
      </c>
      <c r="P109" t="s">
        <v>25</v>
      </c>
      <c r="Q109" t="s">
        <v>339</v>
      </c>
      <c r="R109" s="1" t="s">
        <v>228</v>
      </c>
      <c r="S109" s="1">
        <f>IFERROR(AVERAGE(Urban[[#This Row],[‫دیسمبر‬‏]]:Urban[[#This Row],[‫اكتوبر‬‏]]),"")</f>
        <v>8636.6666666666661</v>
      </c>
      <c r="T109" s="1">
        <f>IFERROR(AVERAGE(Urban[[#This Row],[‫سبتمبر‬‏]]:Urban[[#This Row],[‫یولیو‬‏]]),"")</f>
        <v>9204.3333333333339</v>
      </c>
      <c r="U109" s="1">
        <f>IFERROR(AVERAGE(Urban[[#This Row],[‫یونیو‬‏]]:Urban[[#This Row],[‫ابریل‬‏]]),"")</f>
        <v>10998</v>
      </c>
      <c r="V109" s="1">
        <f>IFERROR(AVERAGE(Urban[[#This Row],[‫مارس‬‏]]:Urban[[#This Row],[‫ینایر‬‏]]),"")</f>
        <v>11367.666666666666</v>
      </c>
    </row>
    <row r="110" spans="1:22" x14ac:dyDescent="0.35">
      <c r="A110" s="1">
        <v>-5</v>
      </c>
      <c r="B110" s="1">
        <v>20450</v>
      </c>
      <c r="C110" s="1">
        <v>20351</v>
      </c>
      <c r="D110" s="1">
        <v>17960</v>
      </c>
      <c r="E110" s="1">
        <v>18387</v>
      </c>
      <c r="F110" s="1">
        <v>18976</v>
      </c>
      <c r="G110" s="1">
        <v>19119</v>
      </c>
      <c r="H110" s="1">
        <v>19131</v>
      </c>
      <c r="I110" s="1">
        <v>19575</v>
      </c>
      <c r="J110" s="1">
        <v>21010</v>
      </c>
      <c r="K110" s="1">
        <v>22172</v>
      </c>
      <c r="L110" s="1">
        <v>21894</v>
      </c>
      <c r="M110" s="1">
        <v>22869</v>
      </c>
      <c r="N110" s="1">
        <v>22075</v>
      </c>
      <c r="O110" s="1">
        <v>21045</v>
      </c>
      <c r="P110" t="s">
        <v>25</v>
      </c>
      <c r="Q110" t="s">
        <v>340</v>
      </c>
      <c r="R110" s="1" t="s">
        <v>228</v>
      </c>
      <c r="S110" s="1">
        <f>IFERROR(AVERAGE(Urban[[#This Row],[‫دیسمبر‬‏]]:Urban[[#This Row],[‫اكتوبر‬‏]]),"")</f>
        <v>18441</v>
      </c>
      <c r="T110" s="1">
        <f>IFERROR(AVERAGE(Urban[[#This Row],[‫سبتمبر‬‏]]:Urban[[#This Row],[‫یولیو‬‏]]),"")</f>
        <v>19275</v>
      </c>
      <c r="U110" s="1">
        <f>IFERROR(AVERAGE(Urban[[#This Row],[‫یونیو‬‏]]:Urban[[#This Row],[‫ابریل‬‏]]),"")</f>
        <v>21692</v>
      </c>
      <c r="V110" s="1">
        <f>IFERROR(AVERAGE(Urban[[#This Row],[‫مارس‬‏]]:Urban[[#This Row],[‫ینایر‬‏]]),"")</f>
        <v>21996.333333333332</v>
      </c>
    </row>
    <row r="111" spans="1:22" x14ac:dyDescent="0.35">
      <c r="A111" s="1">
        <v>6</v>
      </c>
      <c r="B111" s="1">
        <v>10591</v>
      </c>
      <c r="C111" s="1">
        <v>10654</v>
      </c>
      <c r="D111" s="1">
        <v>9342</v>
      </c>
      <c r="E111" s="1">
        <v>9693</v>
      </c>
      <c r="F111" s="1">
        <v>9904</v>
      </c>
      <c r="G111" s="1">
        <v>9908</v>
      </c>
      <c r="H111" s="1">
        <v>9954</v>
      </c>
      <c r="I111" s="1">
        <v>10128</v>
      </c>
      <c r="J111" s="1">
        <v>10947</v>
      </c>
      <c r="K111" s="1">
        <v>11644</v>
      </c>
      <c r="L111" s="1">
        <v>11503</v>
      </c>
      <c r="M111" s="1">
        <v>12042</v>
      </c>
      <c r="N111" s="1">
        <v>11696</v>
      </c>
      <c r="O111" s="1">
        <v>11082</v>
      </c>
      <c r="P111" t="s">
        <v>25</v>
      </c>
      <c r="Q111" t="s">
        <v>341</v>
      </c>
      <c r="R111" s="1" t="s">
        <v>228</v>
      </c>
      <c r="S111" s="1">
        <f>IFERROR(AVERAGE(Urban[[#This Row],[‫دیسمبر‬‏]]:Urban[[#This Row],[‫اكتوبر‬‏]]),"")</f>
        <v>9646.3333333333339</v>
      </c>
      <c r="T111" s="1">
        <f>IFERROR(AVERAGE(Urban[[#This Row],[‫سبتمبر‬‏]]:Urban[[#This Row],[‫یولیو‬‏]]),"")</f>
        <v>9996.6666666666661</v>
      </c>
      <c r="U111" s="1">
        <f>IFERROR(AVERAGE(Urban[[#This Row],[‫یونیو‬‏]]:Urban[[#This Row],[‫ابریل‬‏]]),"")</f>
        <v>11364.666666666666</v>
      </c>
      <c r="V111" s="1">
        <f>IFERROR(AVERAGE(Urban[[#This Row],[‫مارس‬‏]]:Urban[[#This Row],[‫ینایر‬‏]]),"")</f>
        <v>11606.666666666666</v>
      </c>
    </row>
    <row r="112" spans="1:22" x14ac:dyDescent="0.35">
      <c r="A112" s="1">
        <v>146</v>
      </c>
      <c r="B112" s="1">
        <v>13716</v>
      </c>
      <c r="C112" s="1">
        <v>15717</v>
      </c>
      <c r="D112" s="1">
        <v>16589</v>
      </c>
      <c r="E112" s="1">
        <v>16600</v>
      </c>
      <c r="F112" s="1">
        <v>16529</v>
      </c>
      <c r="G112" s="1">
        <v>16162</v>
      </c>
      <c r="H112" s="1">
        <v>16187</v>
      </c>
      <c r="I112" s="1">
        <v>16113</v>
      </c>
      <c r="J112" s="1">
        <v>15902</v>
      </c>
      <c r="K112" s="1">
        <v>15788</v>
      </c>
      <c r="L112" s="1">
        <v>15130</v>
      </c>
      <c r="M112" s="1">
        <v>14734</v>
      </c>
      <c r="N112" s="1">
        <v>14506</v>
      </c>
      <c r="O112" s="1">
        <v>14361</v>
      </c>
      <c r="P112" t="s">
        <v>25</v>
      </c>
      <c r="Q112" t="s">
        <v>342</v>
      </c>
      <c r="R112" s="1" t="s">
        <v>228</v>
      </c>
      <c r="S112" s="1">
        <f>IFERROR(AVERAGE(Urban[[#This Row],[‫دیسمبر‬‏]]:Urban[[#This Row],[‫اكتوبر‬‏]]),"")</f>
        <v>16572.666666666668</v>
      </c>
      <c r="T112" s="1">
        <f>IFERROR(AVERAGE(Urban[[#This Row],[‫سبتمبر‬‏]]:Urban[[#This Row],[‫یولیو‬‏]]),"")</f>
        <v>16154</v>
      </c>
      <c r="U112" s="1">
        <f>IFERROR(AVERAGE(Urban[[#This Row],[‫یونیو‬‏]]:Urban[[#This Row],[‫ابریل‬‏]]),"")</f>
        <v>15606.666666666666</v>
      </c>
      <c r="V112" s="1">
        <f>IFERROR(AVERAGE(Urban[[#This Row],[‫مارس‬‏]]:Urban[[#This Row],[‫ینایر‬‏]]),"")</f>
        <v>14533.666666666666</v>
      </c>
    </row>
    <row r="113" spans="1:22" x14ac:dyDescent="0.35">
      <c r="A113" s="1">
        <v>76</v>
      </c>
      <c r="B113" s="1">
        <v>8778</v>
      </c>
      <c r="C113" s="1">
        <v>9444</v>
      </c>
      <c r="D113" s="1">
        <v>9166</v>
      </c>
      <c r="E113" s="1">
        <v>9222</v>
      </c>
      <c r="F113" s="1">
        <v>9377</v>
      </c>
      <c r="G113" s="1">
        <v>9580</v>
      </c>
      <c r="H113" s="1">
        <v>9740</v>
      </c>
      <c r="I113" s="1">
        <v>9864</v>
      </c>
      <c r="J113" s="1">
        <v>9805</v>
      </c>
      <c r="K113" s="1">
        <v>9685</v>
      </c>
      <c r="L113" s="1">
        <v>9427</v>
      </c>
      <c r="M113" s="1">
        <v>9199</v>
      </c>
      <c r="N113" s="1">
        <v>9134</v>
      </c>
      <c r="O113" s="1">
        <v>9131</v>
      </c>
      <c r="P113" t="s">
        <v>25</v>
      </c>
      <c r="Q113" t="s">
        <v>343</v>
      </c>
      <c r="R113" s="1" t="s">
        <v>228</v>
      </c>
      <c r="S113" s="1">
        <f>IFERROR(AVERAGE(Urban[[#This Row],[‫دیسمبر‬‏]]:Urban[[#This Row],[‫اكتوبر‬‏]]),"")</f>
        <v>9255</v>
      </c>
      <c r="T113" s="1">
        <f>IFERROR(AVERAGE(Urban[[#This Row],[‫سبتمبر‬‏]]:Urban[[#This Row],[‫یولیو‬‏]]),"")</f>
        <v>9728</v>
      </c>
      <c r="U113" s="1">
        <f>IFERROR(AVERAGE(Urban[[#This Row],[‫یونیو‬‏]]:Urban[[#This Row],[‫ابریل‬‏]]),"")</f>
        <v>9639</v>
      </c>
      <c r="V113" s="1">
        <f>IFERROR(AVERAGE(Urban[[#This Row],[‫مارس‬‏]]:Urban[[#This Row],[‫ینایر‬‏]]),"")</f>
        <v>9154.6666666666661</v>
      </c>
    </row>
    <row r="114" spans="1:22" x14ac:dyDescent="0.35">
      <c r="A114" s="1">
        <v>82</v>
      </c>
      <c r="B114" s="1">
        <v>6145</v>
      </c>
      <c r="C114" s="1">
        <v>6649</v>
      </c>
      <c r="D114" s="1">
        <v>6512</v>
      </c>
      <c r="E114" s="1">
        <v>6552</v>
      </c>
      <c r="F114" s="1">
        <v>6611</v>
      </c>
      <c r="G114" s="1">
        <v>6644</v>
      </c>
      <c r="H114" s="1">
        <v>6842</v>
      </c>
      <c r="I114" s="1">
        <v>6854</v>
      </c>
      <c r="J114" s="1">
        <v>6914</v>
      </c>
      <c r="K114" s="1">
        <v>6782</v>
      </c>
      <c r="L114" s="1">
        <v>6611</v>
      </c>
      <c r="M114" s="1">
        <v>6507</v>
      </c>
      <c r="N114" s="1">
        <v>6485</v>
      </c>
      <c r="O114" s="1">
        <v>6472</v>
      </c>
      <c r="P114" t="s">
        <v>25</v>
      </c>
      <c r="Q114" t="s">
        <v>344</v>
      </c>
      <c r="R114" s="1" t="s">
        <v>228</v>
      </c>
      <c r="S114" s="1">
        <f>IFERROR(AVERAGE(Urban[[#This Row],[‫دیسمبر‬‏]]:Urban[[#This Row],[‫اكتوبر‬‏]]),"")</f>
        <v>6558.333333333333</v>
      </c>
      <c r="T114" s="1">
        <f>IFERROR(AVERAGE(Urban[[#This Row],[‫سبتمبر‬‏]]:Urban[[#This Row],[‫یولیو‬‏]]),"")</f>
        <v>6780</v>
      </c>
      <c r="U114" s="1">
        <f>IFERROR(AVERAGE(Urban[[#This Row],[‫یونیو‬‏]]:Urban[[#This Row],[‫ابریل‬‏]]),"")</f>
        <v>6769</v>
      </c>
      <c r="V114" s="1">
        <f>IFERROR(AVERAGE(Urban[[#This Row],[‫مارس‬‏]]:Urban[[#This Row],[‫ینایر‬‏]]),"")</f>
        <v>6488</v>
      </c>
    </row>
    <row r="115" spans="1:22" x14ac:dyDescent="0.35">
      <c r="A115" s="1">
        <v>160</v>
      </c>
      <c r="B115" s="1">
        <v>14988</v>
      </c>
      <c r="C115" s="1">
        <v>17390</v>
      </c>
      <c r="D115" s="1">
        <v>18004</v>
      </c>
      <c r="E115" s="1">
        <v>18025</v>
      </c>
      <c r="F115" s="1">
        <v>18058</v>
      </c>
      <c r="G115" s="1">
        <v>18059</v>
      </c>
      <c r="H115" s="1">
        <v>18005</v>
      </c>
      <c r="I115" s="1">
        <v>17846</v>
      </c>
      <c r="J115" s="1">
        <v>17652</v>
      </c>
      <c r="K115" s="1">
        <v>17511</v>
      </c>
      <c r="L115" s="1">
        <v>16975</v>
      </c>
      <c r="M115" s="1">
        <v>16393</v>
      </c>
      <c r="N115" s="1">
        <v>16143</v>
      </c>
      <c r="O115" s="1">
        <v>16005</v>
      </c>
      <c r="P115" t="s">
        <v>25</v>
      </c>
      <c r="Q115" t="s">
        <v>345</v>
      </c>
      <c r="R115" s="1" t="s">
        <v>228</v>
      </c>
      <c r="S115" s="1">
        <f>IFERROR(AVERAGE(Urban[[#This Row],[‫دیسمبر‬‏]]:Urban[[#This Row],[‫اكتوبر‬‏]]),"")</f>
        <v>18029</v>
      </c>
      <c r="T115" s="1">
        <f>IFERROR(AVERAGE(Urban[[#This Row],[‫سبتمبر‬‏]]:Urban[[#This Row],[‫یولیو‬‏]]),"")</f>
        <v>17970</v>
      </c>
      <c r="U115" s="1">
        <f>IFERROR(AVERAGE(Urban[[#This Row],[‫یونیو‬‏]]:Urban[[#This Row],[‫ابریل‬‏]]),"")</f>
        <v>17379.333333333332</v>
      </c>
      <c r="V115" s="1">
        <f>IFERROR(AVERAGE(Urban[[#This Row],[‫مارس‬‏]]:Urban[[#This Row],[‫ینایر‬‏]]),"")</f>
        <v>16180.333333333334</v>
      </c>
    </row>
    <row r="116" spans="1:22" x14ac:dyDescent="0.35">
      <c r="A116" s="1">
        <v>105</v>
      </c>
      <c r="B116" s="1">
        <v>13571</v>
      </c>
      <c r="C116" s="1">
        <v>15002</v>
      </c>
      <c r="D116" s="1">
        <v>14973</v>
      </c>
      <c r="E116" s="1">
        <v>14789</v>
      </c>
      <c r="F116" s="1">
        <v>14925</v>
      </c>
      <c r="G116" s="1">
        <v>15209</v>
      </c>
      <c r="H116" s="1">
        <v>15291</v>
      </c>
      <c r="I116" s="1">
        <v>15392</v>
      </c>
      <c r="J116" s="1">
        <v>15432</v>
      </c>
      <c r="K116" s="1">
        <v>15252</v>
      </c>
      <c r="L116" s="1">
        <v>14988</v>
      </c>
      <c r="M116" s="1">
        <v>14804</v>
      </c>
      <c r="N116" s="1">
        <v>14615</v>
      </c>
      <c r="O116" s="1">
        <v>14353</v>
      </c>
      <c r="P116" t="s">
        <v>25</v>
      </c>
      <c r="Q116" t="s">
        <v>346</v>
      </c>
      <c r="R116" s="1" t="s">
        <v>228</v>
      </c>
      <c r="S116" s="1">
        <f>IFERROR(AVERAGE(Urban[[#This Row],[‫دیسمبر‬‏]]:Urban[[#This Row],[‫اكتوبر‬‏]]),"")</f>
        <v>14895.666666666666</v>
      </c>
      <c r="T116" s="1">
        <f>IFERROR(AVERAGE(Urban[[#This Row],[‫سبتمبر‬‏]]:Urban[[#This Row],[‫یولیو‬‏]]),"")</f>
        <v>15297.333333333334</v>
      </c>
      <c r="U116" s="1">
        <f>IFERROR(AVERAGE(Urban[[#This Row],[‫یونیو‬‏]]:Urban[[#This Row],[‫ابریل‬‏]]),"")</f>
        <v>15224</v>
      </c>
      <c r="V116" s="1">
        <f>IFERROR(AVERAGE(Urban[[#This Row],[‫مارس‬‏]]:Urban[[#This Row],[‫ینایر‬‏]]),"")</f>
        <v>14590.666666666666</v>
      </c>
    </row>
    <row r="117" spans="1:22" x14ac:dyDescent="0.35">
      <c r="A117" s="1">
        <v>142</v>
      </c>
      <c r="B117" s="1">
        <v>19435</v>
      </c>
      <c r="C117" s="1">
        <v>22198</v>
      </c>
      <c r="D117" s="1">
        <v>23121</v>
      </c>
      <c r="E117" s="1">
        <v>22786</v>
      </c>
      <c r="F117" s="1">
        <v>22926</v>
      </c>
      <c r="G117" s="1">
        <v>22730</v>
      </c>
      <c r="H117" s="1">
        <v>22763</v>
      </c>
      <c r="I117" s="1">
        <v>22598</v>
      </c>
      <c r="J117" s="1">
        <v>22325</v>
      </c>
      <c r="K117" s="1">
        <v>22304</v>
      </c>
      <c r="L117" s="1">
        <v>21754</v>
      </c>
      <c r="M117" s="1">
        <v>21331</v>
      </c>
      <c r="N117" s="1">
        <v>20891</v>
      </c>
      <c r="O117" s="1">
        <v>20845</v>
      </c>
      <c r="P117" t="s">
        <v>25</v>
      </c>
      <c r="Q117" t="s">
        <v>347</v>
      </c>
      <c r="R117" s="1" t="s">
        <v>228</v>
      </c>
      <c r="S117" s="1">
        <f>IFERROR(AVERAGE(Urban[[#This Row],[‫دیسمبر‬‏]]:Urban[[#This Row],[‫اكتوبر‬‏]]),"")</f>
        <v>22944.333333333332</v>
      </c>
      <c r="T117" s="1">
        <f>IFERROR(AVERAGE(Urban[[#This Row],[‫سبتمبر‬‏]]:Urban[[#This Row],[‫یولیو‬‏]]),"")</f>
        <v>22697</v>
      </c>
      <c r="U117" s="1">
        <f>IFERROR(AVERAGE(Urban[[#This Row],[‫یونیو‬‏]]:Urban[[#This Row],[‫ابریل‬‏]]),"")</f>
        <v>22127.666666666668</v>
      </c>
      <c r="V117" s="1">
        <f>IFERROR(AVERAGE(Urban[[#This Row],[‫مارس‬‏]]:Urban[[#This Row],[‫ینایر‬‏]]),"")</f>
        <v>21022.333333333332</v>
      </c>
    </row>
    <row r="118" spans="1:22" x14ac:dyDescent="0.35">
      <c r="A118" s="1">
        <v>104</v>
      </c>
      <c r="B118" s="1">
        <v>16748</v>
      </c>
      <c r="C118" s="1">
        <v>18497</v>
      </c>
      <c r="D118" s="1">
        <v>18367</v>
      </c>
      <c r="E118" s="1">
        <v>18397</v>
      </c>
      <c r="F118" s="1">
        <v>18354</v>
      </c>
      <c r="G118" s="1">
        <v>18901</v>
      </c>
      <c r="H118" s="1">
        <v>19128</v>
      </c>
      <c r="I118" s="1">
        <v>19014</v>
      </c>
      <c r="J118" s="1">
        <v>19162</v>
      </c>
      <c r="K118" s="1">
        <v>18969</v>
      </c>
      <c r="L118" s="1">
        <v>18368</v>
      </c>
      <c r="M118" s="1">
        <v>17962</v>
      </c>
      <c r="N118" s="1">
        <v>17829</v>
      </c>
      <c r="O118" s="1">
        <v>17511</v>
      </c>
      <c r="P118" t="s">
        <v>25</v>
      </c>
      <c r="Q118" t="s">
        <v>348</v>
      </c>
      <c r="R118" s="1" t="s">
        <v>228</v>
      </c>
      <c r="S118" s="1">
        <f>IFERROR(AVERAGE(Urban[[#This Row],[‫دیسمبر‬‏]]:Urban[[#This Row],[‫اكتوبر‬‏]]),"")</f>
        <v>18372.666666666668</v>
      </c>
      <c r="T118" s="1">
        <f>IFERROR(AVERAGE(Urban[[#This Row],[‫سبتمبر‬‏]]:Urban[[#This Row],[‫یولیو‬‏]]),"")</f>
        <v>19014.333333333332</v>
      </c>
      <c r="U118" s="1">
        <f>IFERROR(AVERAGE(Urban[[#This Row],[‫یونیو‬‏]]:Urban[[#This Row],[‫ابریل‬‏]]),"")</f>
        <v>18833</v>
      </c>
      <c r="V118" s="1">
        <f>IFERROR(AVERAGE(Urban[[#This Row],[‫مارس‬‏]]:Urban[[#This Row],[‫ینایر‬‏]]),"")</f>
        <v>17767.333333333332</v>
      </c>
    </row>
    <row r="119" spans="1:22" x14ac:dyDescent="0.35">
      <c r="A119" s="1">
        <v>145</v>
      </c>
      <c r="B119" s="1">
        <v>30605</v>
      </c>
      <c r="C119" s="1">
        <v>35055</v>
      </c>
      <c r="D119" s="1">
        <v>36744</v>
      </c>
      <c r="E119" s="1">
        <v>36682</v>
      </c>
      <c r="F119" s="1">
        <v>36364</v>
      </c>
      <c r="G119" s="1">
        <v>35942</v>
      </c>
      <c r="H119" s="1">
        <v>35933</v>
      </c>
      <c r="I119" s="1">
        <v>35537</v>
      </c>
      <c r="J119" s="1">
        <v>35095</v>
      </c>
      <c r="K119" s="1">
        <v>34708</v>
      </c>
      <c r="L119" s="1">
        <v>34127</v>
      </c>
      <c r="M119" s="1">
        <v>33409</v>
      </c>
      <c r="N119" s="1">
        <v>33307</v>
      </c>
      <c r="O119" s="1">
        <v>32819</v>
      </c>
      <c r="P119" t="s">
        <v>25</v>
      </c>
      <c r="Q119" t="s">
        <v>349</v>
      </c>
      <c r="R119" s="1" t="s">
        <v>228</v>
      </c>
      <c r="S119" s="1">
        <f>IFERROR(AVERAGE(Urban[[#This Row],[‫دیسمبر‬‏]]:Urban[[#This Row],[‫اكتوبر‬‏]]),"")</f>
        <v>36596.666666666664</v>
      </c>
      <c r="T119" s="1">
        <f>IFERROR(AVERAGE(Urban[[#This Row],[‫سبتمبر‬‏]]:Urban[[#This Row],[‫یولیو‬‏]]),"")</f>
        <v>35804</v>
      </c>
      <c r="U119" s="1">
        <f>IFERROR(AVERAGE(Urban[[#This Row],[‫یونیو‬‏]]:Urban[[#This Row],[‫ابریل‬‏]]),"")</f>
        <v>34643.333333333336</v>
      </c>
      <c r="V119" s="1">
        <f>IFERROR(AVERAGE(Urban[[#This Row],[‫مارس‬‏]]:Urban[[#This Row],[‫ینایر‬‏]]),"")</f>
        <v>33178.333333333336</v>
      </c>
    </row>
    <row r="120" spans="1:22" x14ac:dyDescent="0.35">
      <c r="A120" s="1">
        <v>208</v>
      </c>
      <c r="B120" s="1">
        <v>11830</v>
      </c>
      <c r="C120" s="1">
        <v>14289</v>
      </c>
      <c r="D120" s="1">
        <v>15174</v>
      </c>
      <c r="E120" s="1">
        <v>15158</v>
      </c>
      <c r="F120" s="1">
        <v>15057</v>
      </c>
      <c r="G120" s="1">
        <v>14851</v>
      </c>
      <c r="H120" s="1">
        <v>14788</v>
      </c>
      <c r="I120" s="1">
        <v>14691</v>
      </c>
      <c r="J120" s="1">
        <v>14396</v>
      </c>
      <c r="K120" s="1">
        <v>14091</v>
      </c>
      <c r="L120" s="1">
        <v>13581</v>
      </c>
      <c r="M120" s="1">
        <v>13364</v>
      </c>
      <c r="N120" s="1">
        <v>13258</v>
      </c>
      <c r="O120" s="1">
        <v>13060</v>
      </c>
      <c r="P120" t="s">
        <v>25</v>
      </c>
      <c r="Q120" t="s">
        <v>350</v>
      </c>
      <c r="R120" s="1" t="s">
        <v>228</v>
      </c>
      <c r="S120" s="1">
        <f>IFERROR(AVERAGE(Urban[[#This Row],[‫دیسمبر‬‏]]:Urban[[#This Row],[‫اكتوبر‬‏]]),"")</f>
        <v>15129.666666666666</v>
      </c>
      <c r="T120" s="1">
        <f>IFERROR(AVERAGE(Urban[[#This Row],[‫سبتمبر‬‏]]:Urban[[#This Row],[‫یولیو‬‏]]),"")</f>
        <v>14776.666666666666</v>
      </c>
      <c r="U120" s="1">
        <f>IFERROR(AVERAGE(Urban[[#This Row],[‫یونیو‬‏]]:Urban[[#This Row],[‫ابریل‬‏]]),"")</f>
        <v>14022.666666666666</v>
      </c>
      <c r="V120" s="1">
        <f>IFERROR(AVERAGE(Urban[[#This Row],[‫مارس‬‏]]:Urban[[#This Row],[‫ینایر‬‏]]),"")</f>
        <v>13227.333333333334</v>
      </c>
    </row>
    <row r="121" spans="1:22" x14ac:dyDescent="0.35">
      <c r="A121" s="1">
        <v>163</v>
      </c>
      <c r="B121" s="1">
        <v>9794</v>
      </c>
      <c r="C121" s="1">
        <v>11386</v>
      </c>
      <c r="D121" s="1">
        <v>11783</v>
      </c>
      <c r="E121" s="1">
        <v>11804</v>
      </c>
      <c r="F121" s="1">
        <v>11826</v>
      </c>
      <c r="G121" s="1">
        <v>11739</v>
      </c>
      <c r="H121" s="1">
        <v>11670</v>
      </c>
      <c r="I121" s="1">
        <v>11652</v>
      </c>
      <c r="J121" s="1">
        <v>11473</v>
      </c>
      <c r="K121" s="1">
        <v>11357</v>
      </c>
      <c r="L121" s="1">
        <v>11018</v>
      </c>
      <c r="M121" s="1">
        <v>10886</v>
      </c>
      <c r="N121" s="1">
        <v>10806</v>
      </c>
      <c r="O121" s="1">
        <v>10616</v>
      </c>
      <c r="P121" t="s">
        <v>25</v>
      </c>
      <c r="Q121" t="s">
        <v>351</v>
      </c>
      <c r="R121" s="1" t="s">
        <v>228</v>
      </c>
      <c r="S121" s="1">
        <f>IFERROR(AVERAGE(Urban[[#This Row],[‫دیسمبر‬‏]]:Urban[[#This Row],[‫اكتوبر‬‏]]),"")</f>
        <v>11804.333333333334</v>
      </c>
      <c r="T121" s="1">
        <f>IFERROR(AVERAGE(Urban[[#This Row],[‫سبتمبر‬‏]]:Urban[[#This Row],[‫یولیو‬‏]]),"")</f>
        <v>11687</v>
      </c>
      <c r="U121" s="1">
        <f>IFERROR(AVERAGE(Urban[[#This Row],[‫یونیو‬‏]]:Urban[[#This Row],[‫ابریل‬‏]]),"")</f>
        <v>11282.666666666666</v>
      </c>
      <c r="V121" s="1">
        <f>IFERROR(AVERAGE(Urban[[#This Row],[‫مارس‬‏]]:Urban[[#This Row],[‫ینایر‬‏]]),"")</f>
        <v>10769.333333333334</v>
      </c>
    </row>
    <row r="122" spans="1:22" x14ac:dyDescent="0.35">
      <c r="A122" s="1">
        <v>142</v>
      </c>
      <c r="B122" s="1">
        <v>30842</v>
      </c>
      <c r="C122" s="1">
        <v>35232</v>
      </c>
      <c r="D122" s="1">
        <v>36313</v>
      </c>
      <c r="E122" s="1">
        <v>36297</v>
      </c>
      <c r="F122" s="1">
        <v>36297</v>
      </c>
      <c r="G122" s="1">
        <v>35776</v>
      </c>
      <c r="H122" s="1">
        <v>35445</v>
      </c>
      <c r="I122" s="1">
        <v>35474</v>
      </c>
      <c r="J122" s="1">
        <v>35426</v>
      </c>
      <c r="K122" s="1">
        <v>35374</v>
      </c>
      <c r="L122" s="1">
        <v>34736</v>
      </c>
      <c r="M122" s="1">
        <v>33848</v>
      </c>
      <c r="N122" s="1">
        <v>33902</v>
      </c>
      <c r="O122" s="1">
        <v>33893</v>
      </c>
      <c r="P122" t="s">
        <v>25</v>
      </c>
      <c r="Q122" t="s">
        <v>352</v>
      </c>
      <c r="R122" s="1" t="s">
        <v>228</v>
      </c>
      <c r="S122" s="1">
        <f>IFERROR(AVERAGE(Urban[[#This Row],[‫دیسمبر‬‏]]:Urban[[#This Row],[‫اكتوبر‬‏]]),"")</f>
        <v>36302.333333333336</v>
      </c>
      <c r="T122" s="1">
        <f>IFERROR(AVERAGE(Urban[[#This Row],[‫سبتمبر‬‏]]:Urban[[#This Row],[‫یولیو‬‏]]),"")</f>
        <v>35565</v>
      </c>
      <c r="U122" s="1">
        <f>IFERROR(AVERAGE(Urban[[#This Row],[‫یونیو‬‏]]:Urban[[#This Row],[‫ابریل‬‏]]),"")</f>
        <v>35178.666666666664</v>
      </c>
      <c r="V122" s="1">
        <f>IFERROR(AVERAGE(Urban[[#This Row],[‫مارس‬‏]]:Urban[[#This Row],[‫ینایر‬‏]]),"")</f>
        <v>33881</v>
      </c>
    </row>
    <row r="123" spans="1:22" x14ac:dyDescent="0.35">
      <c r="A123" s="1">
        <v>158</v>
      </c>
      <c r="B123" s="1">
        <v>12860</v>
      </c>
      <c r="C123" s="1">
        <v>14894</v>
      </c>
      <c r="D123" s="1">
        <v>15257</v>
      </c>
      <c r="E123" s="1">
        <v>15243</v>
      </c>
      <c r="F123" s="1">
        <v>15245</v>
      </c>
      <c r="G123" s="1">
        <v>15096</v>
      </c>
      <c r="H123" s="1">
        <v>15124</v>
      </c>
      <c r="I123" s="1">
        <v>15119</v>
      </c>
      <c r="J123" s="1">
        <v>15065</v>
      </c>
      <c r="K123" s="1">
        <v>15012</v>
      </c>
      <c r="L123" s="1">
        <v>14674</v>
      </c>
      <c r="M123" s="1">
        <v>14317</v>
      </c>
      <c r="N123" s="1">
        <v>14295</v>
      </c>
      <c r="O123" s="1">
        <v>14285</v>
      </c>
      <c r="P123" t="s">
        <v>25</v>
      </c>
      <c r="Q123" t="s">
        <v>353</v>
      </c>
      <c r="R123" s="1" t="s">
        <v>228</v>
      </c>
      <c r="S123" s="1">
        <f>IFERROR(AVERAGE(Urban[[#This Row],[‫دیسمبر‬‏]]:Urban[[#This Row],[‫اكتوبر‬‏]]),"")</f>
        <v>15248.333333333334</v>
      </c>
      <c r="T123" s="1">
        <f>IFERROR(AVERAGE(Urban[[#This Row],[‫سبتمبر‬‏]]:Urban[[#This Row],[‫یولیو‬‏]]),"")</f>
        <v>15113</v>
      </c>
      <c r="U123" s="1">
        <f>IFERROR(AVERAGE(Urban[[#This Row],[‫یونیو‬‏]]:Urban[[#This Row],[‫ابریل‬‏]]),"")</f>
        <v>14917</v>
      </c>
      <c r="V123" s="1">
        <f>IFERROR(AVERAGE(Urban[[#This Row],[‫مارس‬‏]]:Urban[[#This Row],[‫ینایر‬‏]]),"")</f>
        <v>14299</v>
      </c>
    </row>
    <row r="124" spans="1:22" x14ac:dyDescent="0.35">
      <c r="A124" s="1">
        <v>159</v>
      </c>
      <c r="B124" s="1">
        <v>22404</v>
      </c>
      <c r="C124" s="1">
        <v>25974</v>
      </c>
      <c r="D124" s="1">
        <v>26782</v>
      </c>
      <c r="E124" s="1">
        <v>26791</v>
      </c>
      <c r="F124" s="1">
        <v>26787</v>
      </c>
      <c r="G124" s="1">
        <v>26531</v>
      </c>
      <c r="H124" s="1">
        <v>26483</v>
      </c>
      <c r="I124" s="1">
        <v>26544</v>
      </c>
      <c r="J124" s="1">
        <v>26208</v>
      </c>
      <c r="K124" s="1">
        <v>26098</v>
      </c>
      <c r="L124" s="1">
        <v>25448</v>
      </c>
      <c r="M124" s="1">
        <v>24708</v>
      </c>
      <c r="N124" s="1">
        <v>24683</v>
      </c>
      <c r="O124" s="1">
        <v>24630</v>
      </c>
      <c r="P124" t="s">
        <v>25</v>
      </c>
      <c r="Q124" t="s">
        <v>354</v>
      </c>
      <c r="R124" s="1" t="s">
        <v>228</v>
      </c>
      <c r="S124" s="1">
        <f>IFERROR(AVERAGE(Urban[[#This Row],[‫دیسمبر‬‏]]:Urban[[#This Row],[‫اكتوبر‬‏]]),"")</f>
        <v>26786.666666666668</v>
      </c>
      <c r="T124" s="1">
        <f>IFERROR(AVERAGE(Urban[[#This Row],[‫سبتمبر‬‏]]:Urban[[#This Row],[‫یولیو‬‏]]),"")</f>
        <v>26519.333333333332</v>
      </c>
      <c r="U124" s="1">
        <f>IFERROR(AVERAGE(Urban[[#This Row],[‫یونیو‬‏]]:Urban[[#This Row],[‫ابریل‬‏]]),"")</f>
        <v>25918</v>
      </c>
      <c r="V124" s="1">
        <f>IFERROR(AVERAGE(Urban[[#This Row],[‫مارس‬‏]]:Urban[[#This Row],[‫ینایر‬‏]]),"")</f>
        <v>24673.666666666668</v>
      </c>
    </row>
    <row r="125" spans="1:22" x14ac:dyDescent="0.35">
      <c r="A125" s="1">
        <v>121</v>
      </c>
      <c r="B125" s="1">
        <v>15380</v>
      </c>
      <c r="C125" s="1">
        <v>17236</v>
      </c>
      <c r="D125" s="1">
        <v>17422</v>
      </c>
      <c r="E125" s="1">
        <v>17427</v>
      </c>
      <c r="F125" s="1">
        <v>17485</v>
      </c>
      <c r="G125" s="1">
        <v>17420</v>
      </c>
      <c r="H125" s="1">
        <v>17406</v>
      </c>
      <c r="I125" s="1">
        <v>17431</v>
      </c>
      <c r="J125" s="1">
        <v>17415</v>
      </c>
      <c r="K125" s="1">
        <v>17433</v>
      </c>
      <c r="L125" s="1">
        <v>17179</v>
      </c>
      <c r="M125" s="1">
        <v>16765</v>
      </c>
      <c r="N125" s="1">
        <v>16785</v>
      </c>
      <c r="O125" s="1">
        <v>16665</v>
      </c>
      <c r="P125" t="s">
        <v>25</v>
      </c>
      <c r="Q125" t="s">
        <v>355</v>
      </c>
      <c r="R125" s="1" t="s">
        <v>228</v>
      </c>
      <c r="S125" s="1">
        <f>IFERROR(AVERAGE(Urban[[#This Row],[‫دیسمبر‬‏]]:Urban[[#This Row],[‫اكتوبر‬‏]]),"")</f>
        <v>17444.666666666668</v>
      </c>
      <c r="T125" s="1">
        <f>IFERROR(AVERAGE(Urban[[#This Row],[‫سبتمبر‬‏]]:Urban[[#This Row],[‫یولیو‬‏]]),"")</f>
        <v>17419</v>
      </c>
      <c r="U125" s="1">
        <f>IFERROR(AVERAGE(Urban[[#This Row],[‫یونیو‬‏]]:Urban[[#This Row],[‫ابریل‬‏]]),"")</f>
        <v>17342.333333333332</v>
      </c>
      <c r="V125" s="1">
        <f>IFERROR(AVERAGE(Urban[[#This Row],[‫مارس‬‏]]:Urban[[#This Row],[‫ینایر‬‏]]),"")</f>
        <v>16738.333333333332</v>
      </c>
    </row>
    <row r="126" spans="1:22" x14ac:dyDescent="0.35">
      <c r="A126" s="1">
        <v>91</v>
      </c>
      <c r="B126" s="1">
        <v>2994</v>
      </c>
      <c r="C126" s="1">
        <v>3268</v>
      </c>
      <c r="D126" s="1">
        <v>3373</v>
      </c>
      <c r="E126" s="1">
        <v>3360</v>
      </c>
      <c r="F126" s="1">
        <v>3338</v>
      </c>
      <c r="G126" s="1">
        <v>3312</v>
      </c>
      <c r="H126" s="1">
        <v>3305</v>
      </c>
      <c r="I126" s="1">
        <v>3273</v>
      </c>
      <c r="J126" s="1">
        <v>3243</v>
      </c>
      <c r="K126" s="1">
        <v>3237</v>
      </c>
      <c r="L126" s="1">
        <v>3216</v>
      </c>
      <c r="M126" s="1">
        <v>3188</v>
      </c>
      <c r="N126" s="1">
        <v>3185</v>
      </c>
      <c r="O126" s="1">
        <v>3181</v>
      </c>
      <c r="P126" t="s">
        <v>25</v>
      </c>
      <c r="Q126" t="s">
        <v>356</v>
      </c>
      <c r="R126" s="1" t="s">
        <v>228</v>
      </c>
      <c r="S126" s="1">
        <f>IFERROR(AVERAGE(Urban[[#This Row],[‫دیسمبر‬‏]]:Urban[[#This Row],[‫اكتوبر‬‏]]),"")</f>
        <v>3357</v>
      </c>
      <c r="T126" s="1">
        <f>IFERROR(AVERAGE(Urban[[#This Row],[‫سبتمبر‬‏]]:Urban[[#This Row],[‫یولیو‬‏]]),"")</f>
        <v>3296.6666666666665</v>
      </c>
      <c r="U126" s="1">
        <f>IFERROR(AVERAGE(Urban[[#This Row],[‫یونیو‬‏]]:Urban[[#This Row],[‫ابریل‬‏]]),"")</f>
        <v>3232</v>
      </c>
      <c r="V126" s="1">
        <f>IFERROR(AVERAGE(Urban[[#This Row],[‫مارس‬‏]]:Urban[[#This Row],[‫ینایر‬‏]]),"")</f>
        <v>3184.6666666666665</v>
      </c>
    </row>
    <row r="127" spans="1:22" x14ac:dyDescent="0.35">
      <c r="A127" s="1">
        <v>87</v>
      </c>
      <c r="B127" s="1">
        <v>2078</v>
      </c>
      <c r="C127" s="1">
        <v>2259</v>
      </c>
      <c r="D127" s="1">
        <v>2367</v>
      </c>
      <c r="E127" s="1">
        <v>2358</v>
      </c>
      <c r="F127" s="1">
        <v>2333</v>
      </c>
      <c r="G127" s="1">
        <v>2302</v>
      </c>
      <c r="H127" s="1">
        <v>2287</v>
      </c>
      <c r="I127" s="1">
        <v>2265</v>
      </c>
      <c r="J127" s="1">
        <v>2244</v>
      </c>
      <c r="K127" s="1">
        <v>2229</v>
      </c>
      <c r="L127" s="1">
        <v>2201</v>
      </c>
      <c r="M127" s="1">
        <v>2182</v>
      </c>
      <c r="N127" s="1">
        <v>2177</v>
      </c>
      <c r="O127" s="1">
        <v>2167</v>
      </c>
      <c r="P127" t="s">
        <v>357</v>
      </c>
      <c r="Q127" t="s">
        <v>358</v>
      </c>
      <c r="R127" s="1" t="s">
        <v>228</v>
      </c>
      <c r="S127" s="1">
        <f>IFERROR(AVERAGE(Urban[[#This Row],[‫دیسمبر‬‏]]:Urban[[#This Row],[‫اكتوبر‬‏]]),"")</f>
        <v>2352.6666666666665</v>
      </c>
      <c r="T127" s="1">
        <f>IFERROR(AVERAGE(Urban[[#This Row],[‫سبتمبر‬‏]]:Urban[[#This Row],[‫یولیو‬‏]]),"")</f>
        <v>2284.6666666666665</v>
      </c>
      <c r="U127" s="1">
        <f>IFERROR(AVERAGE(Urban[[#This Row],[‫یونیو‬‏]]:Urban[[#This Row],[‫ابریل‬‏]]),"")</f>
        <v>2224.6666666666665</v>
      </c>
      <c r="V127" s="1">
        <f>IFERROR(AVERAGE(Urban[[#This Row],[‫مارس‬‏]]:Urban[[#This Row],[‫ینایر‬‏]]),"")</f>
        <v>2175.3333333333335</v>
      </c>
    </row>
    <row r="128" spans="1:22" x14ac:dyDescent="0.35">
      <c r="A128" s="1">
        <v>108</v>
      </c>
      <c r="B128" s="1">
        <v>10691</v>
      </c>
      <c r="C128" s="1">
        <v>11846</v>
      </c>
      <c r="D128" s="1">
        <v>12315</v>
      </c>
      <c r="E128" s="1">
        <v>12329</v>
      </c>
      <c r="F128" s="1">
        <v>12206</v>
      </c>
      <c r="G128" s="1">
        <v>11950</v>
      </c>
      <c r="H128" s="1">
        <v>12022</v>
      </c>
      <c r="I128" s="1">
        <v>11870</v>
      </c>
      <c r="J128" s="1">
        <v>11839</v>
      </c>
      <c r="K128" s="1">
        <v>11990</v>
      </c>
      <c r="L128" s="1">
        <v>11335</v>
      </c>
      <c r="M128" s="1">
        <v>11470</v>
      </c>
      <c r="N128" s="1">
        <v>11453</v>
      </c>
      <c r="O128" s="1">
        <v>11372</v>
      </c>
      <c r="P128" t="s">
        <v>359</v>
      </c>
      <c r="Q128" t="s">
        <v>360</v>
      </c>
      <c r="R128" s="1" t="s">
        <v>228</v>
      </c>
      <c r="S128" s="1">
        <f>IFERROR(AVERAGE(Urban[[#This Row],[‫دیسمبر‬‏]]:Urban[[#This Row],[‫اكتوبر‬‏]]),"")</f>
        <v>12283.333333333334</v>
      </c>
      <c r="T128" s="1">
        <f>IFERROR(AVERAGE(Urban[[#This Row],[‫سبتمبر‬‏]]:Urban[[#This Row],[‫یولیو‬‏]]),"")</f>
        <v>11947.333333333334</v>
      </c>
      <c r="U128" s="1">
        <f>IFERROR(AVERAGE(Urban[[#This Row],[‫یونیو‬‏]]:Urban[[#This Row],[‫ابریل‬‏]]),"")</f>
        <v>11721.333333333334</v>
      </c>
      <c r="V128" s="1">
        <f>IFERROR(AVERAGE(Urban[[#This Row],[‫مارس‬‏]]:Urban[[#This Row],[‫ینایر‬‏]]),"")</f>
        <v>11431.666666666666</v>
      </c>
    </row>
    <row r="129" spans="1:22" x14ac:dyDescent="0.35">
      <c r="A129" s="1">
        <v>146</v>
      </c>
      <c r="B129" s="1">
        <v>25188</v>
      </c>
      <c r="C129" s="1">
        <v>28861</v>
      </c>
      <c r="D129" s="1">
        <v>30337</v>
      </c>
      <c r="E129" s="1">
        <v>30234</v>
      </c>
      <c r="F129" s="1">
        <v>30125</v>
      </c>
      <c r="G129" s="1">
        <v>29717</v>
      </c>
      <c r="H129" s="1">
        <v>29657</v>
      </c>
      <c r="I129" s="1">
        <v>29563</v>
      </c>
      <c r="J129" s="1">
        <v>29542</v>
      </c>
      <c r="K129" s="1">
        <v>29483</v>
      </c>
      <c r="L129" s="1">
        <v>26869</v>
      </c>
      <c r="M129" s="1">
        <v>27030</v>
      </c>
      <c r="N129" s="1">
        <v>26947</v>
      </c>
      <c r="O129" s="1">
        <v>26834</v>
      </c>
      <c r="P129" t="s">
        <v>361</v>
      </c>
      <c r="Q129" t="s">
        <v>362</v>
      </c>
      <c r="R129" s="1" t="s">
        <v>228</v>
      </c>
      <c r="S129" s="1">
        <f>IFERROR(AVERAGE(Urban[[#This Row],[‫دیسمبر‬‏]]:Urban[[#This Row],[‫اكتوبر‬‏]]),"")</f>
        <v>30232</v>
      </c>
      <c r="T129" s="1">
        <f>IFERROR(AVERAGE(Urban[[#This Row],[‫سبتمبر‬‏]]:Urban[[#This Row],[‫یولیو‬‏]]),"")</f>
        <v>29645.666666666668</v>
      </c>
      <c r="U129" s="1">
        <f>IFERROR(AVERAGE(Urban[[#This Row],[‫یونیو‬‏]]:Urban[[#This Row],[‫ابریل‬‏]]),"")</f>
        <v>28631.333333333332</v>
      </c>
      <c r="V129" s="1">
        <f>IFERROR(AVERAGE(Urban[[#This Row],[‫مارس‬‏]]:Urban[[#This Row],[‫ینایر‬‏]]),"")</f>
        <v>26937</v>
      </c>
    </row>
    <row r="130" spans="1:22" x14ac:dyDescent="0.35">
      <c r="A130" s="1">
        <v>143</v>
      </c>
      <c r="B130" s="1">
        <v>19350</v>
      </c>
      <c r="C130" s="1">
        <v>22116</v>
      </c>
      <c r="D130" s="1">
        <v>22821</v>
      </c>
      <c r="E130" s="1">
        <v>22843</v>
      </c>
      <c r="F130" s="1">
        <v>22753</v>
      </c>
      <c r="G130" s="1">
        <v>22541</v>
      </c>
      <c r="H130" s="1">
        <v>22518</v>
      </c>
      <c r="I130" s="1">
        <v>22087</v>
      </c>
      <c r="J130" s="1">
        <v>22099</v>
      </c>
      <c r="K130" s="1">
        <v>21579</v>
      </c>
      <c r="L130" s="1">
        <v>21685</v>
      </c>
      <c r="M130" s="1">
        <v>21659</v>
      </c>
      <c r="N130" s="1">
        <v>21430</v>
      </c>
      <c r="O130" s="1">
        <v>21379</v>
      </c>
      <c r="P130" t="s">
        <v>363</v>
      </c>
      <c r="Q130" t="s">
        <v>364</v>
      </c>
      <c r="R130" s="1" t="s">
        <v>228</v>
      </c>
      <c r="S130" s="1">
        <f>IFERROR(AVERAGE(Urban[[#This Row],[‫دیسمبر‬‏]]:Urban[[#This Row],[‫اكتوبر‬‏]]),"")</f>
        <v>22805.666666666668</v>
      </c>
      <c r="T130" s="1">
        <f>IFERROR(AVERAGE(Urban[[#This Row],[‫سبتمبر‬‏]]:Urban[[#This Row],[‫یولیو‬‏]]),"")</f>
        <v>22382</v>
      </c>
      <c r="U130" s="1">
        <f>IFERROR(AVERAGE(Urban[[#This Row],[‫یونیو‬‏]]:Urban[[#This Row],[‫ابریل‬‏]]),"")</f>
        <v>21787.666666666668</v>
      </c>
      <c r="V130" s="1">
        <f>IFERROR(AVERAGE(Urban[[#This Row],[‫مارس‬‏]]:Urban[[#This Row],[‫ینایر‬‏]]),"")</f>
        <v>21489.333333333332</v>
      </c>
    </row>
    <row r="131" spans="1:22" x14ac:dyDescent="0.35">
      <c r="A131" s="1">
        <v>104</v>
      </c>
      <c r="B131" s="1">
        <v>1521</v>
      </c>
      <c r="C131" s="1">
        <v>1679</v>
      </c>
      <c r="D131" s="1">
        <v>1737</v>
      </c>
      <c r="E131" s="1">
        <v>1724</v>
      </c>
      <c r="F131" s="1">
        <v>1714</v>
      </c>
      <c r="G131" s="1">
        <v>1699</v>
      </c>
      <c r="H131" s="1">
        <v>1696</v>
      </c>
      <c r="I131" s="1">
        <v>1688</v>
      </c>
      <c r="J131" s="1">
        <v>1687</v>
      </c>
      <c r="K131" s="1">
        <v>1666</v>
      </c>
      <c r="L131" s="1">
        <v>1626</v>
      </c>
      <c r="M131" s="1">
        <v>1644</v>
      </c>
      <c r="N131" s="1">
        <v>1638</v>
      </c>
      <c r="O131" s="1">
        <v>1626</v>
      </c>
      <c r="P131" t="s">
        <v>213</v>
      </c>
      <c r="Q131" t="s">
        <v>365</v>
      </c>
      <c r="R131" s="1" t="s">
        <v>228</v>
      </c>
      <c r="S131" s="1">
        <f>IFERROR(AVERAGE(Urban[[#This Row],[‫دیسمبر‬‏]]:Urban[[#This Row],[‫اكتوبر‬‏]]),"")</f>
        <v>1725</v>
      </c>
      <c r="T131" s="1">
        <f>IFERROR(AVERAGE(Urban[[#This Row],[‫سبتمبر‬‏]]:Urban[[#This Row],[‫یولیو‬‏]]),"")</f>
        <v>1694.3333333333333</v>
      </c>
      <c r="U131" s="1">
        <f>IFERROR(AVERAGE(Urban[[#This Row],[‫یونیو‬‏]]:Urban[[#This Row],[‫ابریل‬‏]]),"")</f>
        <v>1659.6666666666667</v>
      </c>
      <c r="V131" s="1">
        <f>IFERROR(AVERAGE(Urban[[#This Row],[‫مارس‬‏]]:Urban[[#This Row],[‫ینایر‬‏]]),"")</f>
        <v>1636</v>
      </c>
    </row>
    <row r="132" spans="1:22" x14ac:dyDescent="0.35">
      <c r="A132" s="1">
        <v>149</v>
      </c>
      <c r="B132" s="1">
        <v>4976</v>
      </c>
      <c r="C132" s="1">
        <v>5718</v>
      </c>
      <c r="D132" s="1">
        <v>6008</v>
      </c>
      <c r="E132" s="1">
        <v>5894</v>
      </c>
      <c r="F132" s="1">
        <v>5799</v>
      </c>
      <c r="G132" s="1">
        <v>5780</v>
      </c>
      <c r="H132" s="1">
        <v>5777</v>
      </c>
      <c r="I132" s="1">
        <v>5723</v>
      </c>
      <c r="J132" s="1">
        <v>5711</v>
      </c>
      <c r="K132" s="1">
        <v>5642</v>
      </c>
      <c r="L132" s="1">
        <v>5595</v>
      </c>
      <c r="M132" s="1">
        <v>5574</v>
      </c>
      <c r="N132" s="1">
        <v>5568</v>
      </c>
      <c r="O132" s="1">
        <v>5544</v>
      </c>
      <c r="P132" t="s">
        <v>366</v>
      </c>
      <c r="Q132" t="s">
        <v>367</v>
      </c>
      <c r="R132" s="1" t="s">
        <v>228</v>
      </c>
      <c r="S132" s="1">
        <f>IFERROR(AVERAGE(Urban[[#This Row],[‫دیسمبر‬‏]]:Urban[[#This Row],[‫اكتوبر‬‏]]),"")</f>
        <v>5900.333333333333</v>
      </c>
      <c r="T132" s="1">
        <f>IFERROR(AVERAGE(Urban[[#This Row],[‫سبتمبر‬‏]]:Urban[[#This Row],[‫یولیو‬‏]]),"")</f>
        <v>5760</v>
      </c>
      <c r="U132" s="1">
        <f>IFERROR(AVERAGE(Urban[[#This Row],[‫یونیو‬‏]]:Urban[[#This Row],[‫ابریل‬‏]]),"")</f>
        <v>5649.333333333333</v>
      </c>
      <c r="V132" s="1">
        <f>IFERROR(AVERAGE(Urban[[#This Row],[‫مارس‬‏]]:Urban[[#This Row],[‫ینایر‬‏]]),"")</f>
        <v>5562</v>
      </c>
    </row>
    <row r="133" spans="1:22" x14ac:dyDescent="0.35">
      <c r="A133" s="1">
        <v>62</v>
      </c>
      <c r="B133" s="1">
        <v>11754</v>
      </c>
      <c r="C133" s="1">
        <v>12481</v>
      </c>
      <c r="D133" s="1">
        <v>12553</v>
      </c>
      <c r="E133" s="1">
        <v>12599</v>
      </c>
      <c r="F133" s="1">
        <v>12591</v>
      </c>
      <c r="G133" s="1">
        <v>12524</v>
      </c>
      <c r="H133" s="1">
        <v>12516</v>
      </c>
      <c r="I133" s="1">
        <v>12554</v>
      </c>
      <c r="J133" s="1">
        <v>12613</v>
      </c>
      <c r="K133" s="1">
        <v>12563</v>
      </c>
      <c r="L133" s="1">
        <v>12409</v>
      </c>
      <c r="M133" s="1">
        <v>12361</v>
      </c>
      <c r="N133" s="1">
        <v>12337</v>
      </c>
      <c r="O133" s="1">
        <v>12147</v>
      </c>
      <c r="P133" t="s">
        <v>25</v>
      </c>
      <c r="Q133" t="s">
        <v>368</v>
      </c>
      <c r="R133" s="1" t="s">
        <v>228</v>
      </c>
      <c r="S133" s="1">
        <f>IFERROR(AVERAGE(Urban[[#This Row],[‫دیسمبر‬‏]]:Urban[[#This Row],[‫اكتوبر‬‏]]),"")</f>
        <v>12581</v>
      </c>
      <c r="T133" s="1">
        <f>IFERROR(AVERAGE(Urban[[#This Row],[‫سبتمبر‬‏]]:Urban[[#This Row],[‫یولیو‬‏]]),"")</f>
        <v>12531.333333333334</v>
      </c>
      <c r="U133" s="1">
        <f>IFERROR(AVERAGE(Urban[[#This Row],[‫یونیو‬‏]]:Urban[[#This Row],[‫ابریل‬‏]]),"")</f>
        <v>12528.333333333334</v>
      </c>
      <c r="V133" s="1">
        <f>IFERROR(AVERAGE(Urban[[#This Row],[‫مارس‬‏]]:Urban[[#This Row],[‫ینایر‬‏]]),"")</f>
        <v>12281.666666666666</v>
      </c>
    </row>
    <row r="134" spans="1:22" x14ac:dyDescent="0.35">
      <c r="A134" s="1">
        <v>78</v>
      </c>
      <c r="B134" s="1">
        <v>26387</v>
      </c>
      <c r="C134" s="1">
        <v>28435</v>
      </c>
      <c r="D134" s="1">
        <v>28906</v>
      </c>
      <c r="E134" s="1">
        <v>29117</v>
      </c>
      <c r="F134" s="1">
        <v>28852</v>
      </c>
      <c r="G134" s="1">
        <v>28514</v>
      </c>
      <c r="H134" s="1">
        <v>28612</v>
      </c>
      <c r="I134" s="1">
        <v>28556</v>
      </c>
      <c r="J134" s="1">
        <v>28428</v>
      </c>
      <c r="K134" s="1">
        <v>28380</v>
      </c>
      <c r="L134" s="1">
        <v>28134</v>
      </c>
      <c r="M134" s="1">
        <v>27962</v>
      </c>
      <c r="N134" s="1">
        <v>27966</v>
      </c>
      <c r="O134" s="1">
        <v>27798</v>
      </c>
      <c r="P134" t="s">
        <v>25</v>
      </c>
      <c r="Q134" t="s">
        <v>369</v>
      </c>
      <c r="R134" s="1" t="s">
        <v>228</v>
      </c>
      <c r="S134" s="1">
        <f>IFERROR(AVERAGE(Urban[[#This Row],[‫دیسمبر‬‏]]:Urban[[#This Row],[‫اكتوبر‬‏]]),"")</f>
        <v>28958.333333333332</v>
      </c>
      <c r="T134" s="1">
        <f>IFERROR(AVERAGE(Urban[[#This Row],[‫سبتمبر‬‏]]:Urban[[#This Row],[‫یولیو‬‏]]),"")</f>
        <v>28560.666666666668</v>
      </c>
      <c r="U134" s="1">
        <f>IFERROR(AVERAGE(Urban[[#This Row],[‫یونیو‬‏]]:Urban[[#This Row],[‫ابریل‬‏]]),"")</f>
        <v>28314</v>
      </c>
      <c r="V134" s="1">
        <f>IFERROR(AVERAGE(Urban[[#This Row],[‫مارس‬‏]]:Urban[[#This Row],[‫ینایر‬‏]]),"")</f>
        <v>27908.666666666668</v>
      </c>
    </row>
    <row r="135" spans="1:22" x14ac:dyDescent="0.35">
      <c r="A135" s="1">
        <v>69</v>
      </c>
      <c r="B135" s="1">
        <v>22908</v>
      </c>
      <c r="C135" s="1">
        <v>24484</v>
      </c>
      <c r="D135" s="1">
        <v>24949</v>
      </c>
      <c r="E135" s="1">
        <v>24927</v>
      </c>
      <c r="F135" s="1">
        <v>24710</v>
      </c>
      <c r="G135" s="1">
        <v>24518</v>
      </c>
      <c r="H135" s="1">
        <v>24620</v>
      </c>
      <c r="I135" s="1">
        <v>24551</v>
      </c>
      <c r="J135" s="1">
        <v>24471</v>
      </c>
      <c r="K135" s="1">
        <v>24468</v>
      </c>
      <c r="L135" s="1">
        <v>24161</v>
      </c>
      <c r="M135" s="1">
        <v>24105</v>
      </c>
      <c r="N135" s="1">
        <v>24130</v>
      </c>
      <c r="O135" s="1">
        <v>24202</v>
      </c>
      <c r="P135" t="s">
        <v>25</v>
      </c>
      <c r="Q135" t="s">
        <v>370</v>
      </c>
      <c r="R135" s="1" t="s">
        <v>228</v>
      </c>
      <c r="S135" s="1">
        <f>IFERROR(AVERAGE(Urban[[#This Row],[‫دیسمبر‬‏]]:Urban[[#This Row],[‫اكتوبر‬‏]]),"")</f>
        <v>24862</v>
      </c>
      <c r="T135" s="1">
        <f>IFERROR(AVERAGE(Urban[[#This Row],[‫سبتمبر‬‏]]:Urban[[#This Row],[‫یولیو‬‏]]),"")</f>
        <v>24563</v>
      </c>
      <c r="U135" s="1">
        <f>IFERROR(AVERAGE(Urban[[#This Row],[‫یونیو‬‏]]:Urban[[#This Row],[‫ابریل‬‏]]),"")</f>
        <v>24366.666666666668</v>
      </c>
      <c r="V135" s="1">
        <f>IFERROR(AVERAGE(Urban[[#This Row],[‫مارس‬‏]]:Urban[[#This Row],[‫ینایر‬‏]]),"")</f>
        <v>24145.666666666668</v>
      </c>
    </row>
    <row r="136" spans="1:22" x14ac:dyDescent="0.35">
      <c r="A136" s="1">
        <v>126</v>
      </c>
      <c r="B136" s="1">
        <v>8295</v>
      </c>
      <c r="C136" s="1">
        <v>9340</v>
      </c>
      <c r="D136" s="1">
        <v>9685</v>
      </c>
      <c r="E136" s="1">
        <v>9703</v>
      </c>
      <c r="F136" s="1">
        <v>9646</v>
      </c>
      <c r="G136" s="1">
        <v>9543</v>
      </c>
      <c r="H136" s="1">
        <v>9512</v>
      </c>
      <c r="I136" s="1">
        <v>9420</v>
      </c>
      <c r="J136" s="1">
        <v>9273</v>
      </c>
      <c r="K136" s="1">
        <v>9197</v>
      </c>
      <c r="L136" s="1">
        <v>9067</v>
      </c>
      <c r="M136" s="1">
        <v>8973</v>
      </c>
      <c r="N136" s="1">
        <v>9042</v>
      </c>
      <c r="O136" s="1">
        <v>9019</v>
      </c>
      <c r="P136" t="s">
        <v>25</v>
      </c>
      <c r="Q136" t="s">
        <v>371</v>
      </c>
      <c r="R136" s="1" t="s">
        <v>228</v>
      </c>
      <c r="S136" s="1">
        <f>IFERROR(AVERAGE(Urban[[#This Row],[‫دیسمبر‬‏]]:Urban[[#This Row],[‫اكتوبر‬‏]]),"")</f>
        <v>9678</v>
      </c>
      <c r="T136" s="1">
        <f>IFERROR(AVERAGE(Urban[[#This Row],[‫سبتمبر‬‏]]:Urban[[#This Row],[‫یولیو‬‏]]),"")</f>
        <v>9491.6666666666661</v>
      </c>
      <c r="U136" s="1">
        <f>IFERROR(AVERAGE(Urban[[#This Row],[‫یونیو‬‏]]:Urban[[#This Row],[‫ابریل‬‏]]),"")</f>
        <v>9179</v>
      </c>
      <c r="V136" s="1">
        <f>IFERROR(AVERAGE(Urban[[#This Row],[‫مارس‬‏]]:Urban[[#This Row],[‫ینایر‬‏]]),"")</f>
        <v>9011.3333333333339</v>
      </c>
    </row>
    <row r="137" spans="1:22" x14ac:dyDescent="0.35">
      <c r="A137" s="1">
        <v>108</v>
      </c>
      <c r="B137" s="1">
        <v>10754</v>
      </c>
      <c r="C137" s="1">
        <v>11918</v>
      </c>
      <c r="D137" s="1">
        <v>12471</v>
      </c>
      <c r="E137" s="1">
        <v>12483</v>
      </c>
      <c r="F137" s="1">
        <v>12263</v>
      </c>
      <c r="G137" s="1">
        <v>12150</v>
      </c>
      <c r="H137" s="1">
        <v>12105</v>
      </c>
      <c r="I137" s="1">
        <v>11961</v>
      </c>
      <c r="J137" s="1">
        <v>11847</v>
      </c>
      <c r="K137" s="1">
        <v>11781</v>
      </c>
      <c r="L137" s="1">
        <v>11639</v>
      </c>
      <c r="M137" s="1">
        <v>11427</v>
      </c>
      <c r="N137" s="1">
        <v>11462</v>
      </c>
      <c r="O137" s="1">
        <v>11428</v>
      </c>
      <c r="P137" t="s">
        <v>25</v>
      </c>
      <c r="Q137" t="s">
        <v>372</v>
      </c>
      <c r="R137" s="1" t="s">
        <v>228</v>
      </c>
      <c r="S137" s="1">
        <f>IFERROR(AVERAGE(Urban[[#This Row],[‫دیسمبر‬‏]]:Urban[[#This Row],[‫اكتوبر‬‏]]),"")</f>
        <v>12405.666666666666</v>
      </c>
      <c r="T137" s="1">
        <f>IFERROR(AVERAGE(Urban[[#This Row],[‫سبتمبر‬‏]]:Urban[[#This Row],[‫یولیو‬‏]]),"")</f>
        <v>12072</v>
      </c>
      <c r="U137" s="1">
        <f>IFERROR(AVERAGE(Urban[[#This Row],[‫یونیو‬‏]]:Urban[[#This Row],[‫ابریل‬‏]]),"")</f>
        <v>11755.666666666666</v>
      </c>
      <c r="V137" s="1">
        <f>IFERROR(AVERAGE(Urban[[#This Row],[‫مارس‬‏]]:Urban[[#This Row],[‫ینایر‬‏]]),"")</f>
        <v>11439</v>
      </c>
    </row>
    <row r="138" spans="1:22" x14ac:dyDescent="0.35">
      <c r="A138" s="1">
        <v>72</v>
      </c>
      <c r="B138" s="1">
        <v>4214</v>
      </c>
      <c r="C138" s="1">
        <v>4516</v>
      </c>
      <c r="D138" s="1">
        <v>4608</v>
      </c>
      <c r="E138" s="1">
        <v>4602</v>
      </c>
      <c r="F138" s="1">
        <v>4576</v>
      </c>
      <c r="G138" s="1">
        <v>4571</v>
      </c>
      <c r="H138" s="1">
        <v>4594</v>
      </c>
      <c r="I138" s="1">
        <v>4563</v>
      </c>
      <c r="J138" s="1">
        <v>4492</v>
      </c>
      <c r="K138" s="1">
        <v>4490</v>
      </c>
      <c r="L138" s="1">
        <v>4479</v>
      </c>
      <c r="M138" s="1">
        <v>4427</v>
      </c>
      <c r="N138" s="1">
        <v>4421</v>
      </c>
      <c r="O138" s="1">
        <v>4367</v>
      </c>
      <c r="P138" t="s">
        <v>373</v>
      </c>
      <c r="Q138" t="s">
        <v>374</v>
      </c>
      <c r="R138" s="1" t="s">
        <v>228</v>
      </c>
      <c r="S138" s="1">
        <f>IFERROR(AVERAGE(Urban[[#This Row],[‫دیسمبر‬‏]]:Urban[[#This Row],[‫اكتوبر‬‏]]),"")</f>
        <v>4595.333333333333</v>
      </c>
      <c r="T138" s="1">
        <f>IFERROR(AVERAGE(Urban[[#This Row],[‫سبتمبر‬‏]]:Urban[[#This Row],[‫یولیو‬‏]]),"")</f>
        <v>4576</v>
      </c>
      <c r="U138" s="1">
        <f>IFERROR(AVERAGE(Urban[[#This Row],[‫یونیو‬‏]]:Urban[[#This Row],[‫ابریل‬‏]]),"")</f>
        <v>4487</v>
      </c>
      <c r="V138" s="1">
        <f>IFERROR(AVERAGE(Urban[[#This Row],[‫مارس‬‏]]:Urban[[#This Row],[‫ینایر‬‏]]),"")</f>
        <v>4405</v>
      </c>
    </row>
    <row r="139" spans="1:22" x14ac:dyDescent="0.35">
      <c r="A139" s="1">
        <v>101</v>
      </c>
      <c r="B139" s="1">
        <v>41901</v>
      </c>
      <c r="C139" s="1">
        <v>46137</v>
      </c>
      <c r="D139" s="1">
        <v>47326</v>
      </c>
      <c r="E139" s="1">
        <v>46965</v>
      </c>
      <c r="F139" s="1">
        <v>46671</v>
      </c>
      <c r="G139" s="1">
        <v>46515</v>
      </c>
      <c r="H139" s="1">
        <v>46143</v>
      </c>
      <c r="I139" s="1">
        <v>45997</v>
      </c>
      <c r="J139" s="1">
        <v>45982</v>
      </c>
      <c r="K139" s="1">
        <v>45970</v>
      </c>
      <c r="L139" s="1">
        <v>45774</v>
      </c>
      <c r="M139" s="1">
        <v>45794</v>
      </c>
      <c r="N139" s="1">
        <v>45752</v>
      </c>
      <c r="O139" s="1">
        <v>44753</v>
      </c>
      <c r="P139" t="s">
        <v>25</v>
      </c>
      <c r="Q139" t="s">
        <v>375</v>
      </c>
      <c r="R139" s="1" t="s">
        <v>228</v>
      </c>
      <c r="S139" s="1">
        <f>IFERROR(AVERAGE(Urban[[#This Row],[‫دیسمبر‬‏]]:Urban[[#This Row],[‫اكتوبر‬‏]]),"")</f>
        <v>46987.333333333336</v>
      </c>
      <c r="T139" s="1">
        <f>IFERROR(AVERAGE(Urban[[#This Row],[‫سبتمبر‬‏]]:Urban[[#This Row],[‫یولیو‬‏]]),"")</f>
        <v>46218.333333333336</v>
      </c>
      <c r="U139" s="1">
        <f>IFERROR(AVERAGE(Urban[[#This Row],[‫یونیو‬‏]]:Urban[[#This Row],[‫ابریل‬‏]]),"")</f>
        <v>45908.666666666664</v>
      </c>
      <c r="V139" s="1">
        <f>IFERROR(AVERAGE(Urban[[#This Row],[‫مارس‬‏]]:Urban[[#This Row],[‫ینایر‬‏]]),"")</f>
        <v>45433</v>
      </c>
    </row>
    <row r="140" spans="1:22" x14ac:dyDescent="0.35">
      <c r="A140" s="1">
        <v>136</v>
      </c>
      <c r="B140" s="1">
        <v>8480</v>
      </c>
      <c r="C140" s="1">
        <v>9635</v>
      </c>
      <c r="D140" s="1">
        <v>9952</v>
      </c>
      <c r="E140" s="1">
        <v>10036</v>
      </c>
      <c r="F140" s="1">
        <v>10037</v>
      </c>
      <c r="G140" s="1">
        <v>10014</v>
      </c>
      <c r="H140" s="1">
        <v>9859</v>
      </c>
      <c r="I140" s="1">
        <v>9752</v>
      </c>
      <c r="J140" s="1">
        <v>9654</v>
      </c>
      <c r="K140" s="1">
        <v>9521</v>
      </c>
      <c r="L140" s="1">
        <v>9309</v>
      </c>
      <c r="M140" s="1">
        <v>9162</v>
      </c>
      <c r="N140" s="1">
        <v>9196</v>
      </c>
      <c r="O140" s="1">
        <v>9126</v>
      </c>
      <c r="P140" t="s">
        <v>376</v>
      </c>
      <c r="Q140" t="s">
        <v>377</v>
      </c>
      <c r="R140" s="1" t="s">
        <v>228</v>
      </c>
      <c r="S140" s="1">
        <f>IFERROR(AVERAGE(Urban[[#This Row],[‫دیسمبر‬‏]]:Urban[[#This Row],[‫اكتوبر‬‏]]),"")</f>
        <v>10008.333333333334</v>
      </c>
      <c r="T140" s="1">
        <f>IFERROR(AVERAGE(Urban[[#This Row],[‫سبتمبر‬‏]]:Urban[[#This Row],[‫یولیو‬‏]]),"")</f>
        <v>9875</v>
      </c>
      <c r="U140" s="1">
        <f>IFERROR(AVERAGE(Urban[[#This Row],[‫یونیو‬‏]]:Urban[[#This Row],[‫ابریل‬‏]]),"")</f>
        <v>9494.6666666666661</v>
      </c>
      <c r="V140" s="1">
        <f>IFERROR(AVERAGE(Urban[[#This Row],[‫مارس‬‏]]:Urban[[#This Row],[‫ینایر‬‏]]),"")</f>
        <v>9161.3333333333339</v>
      </c>
    </row>
    <row r="141" spans="1:22" x14ac:dyDescent="0.35">
      <c r="A141" s="1">
        <v>232</v>
      </c>
      <c r="B141" s="1">
        <v>5851</v>
      </c>
      <c r="C141" s="1">
        <v>7211</v>
      </c>
      <c r="D141" s="1">
        <v>7691</v>
      </c>
      <c r="E141" s="1">
        <v>7634</v>
      </c>
      <c r="F141" s="1">
        <v>7573</v>
      </c>
      <c r="G141" s="1">
        <v>7552</v>
      </c>
      <c r="H141" s="1">
        <v>7409</v>
      </c>
      <c r="I141" s="1">
        <v>7346</v>
      </c>
      <c r="J141" s="1">
        <v>7240</v>
      </c>
      <c r="K141" s="1">
        <v>7054</v>
      </c>
      <c r="L141" s="1">
        <v>6834</v>
      </c>
      <c r="M141" s="1">
        <v>6735</v>
      </c>
      <c r="N141" s="1">
        <v>6760</v>
      </c>
      <c r="O141" s="1">
        <v>6703</v>
      </c>
      <c r="P141" t="s">
        <v>267</v>
      </c>
      <c r="Q141" t="s">
        <v>378</v>
      </c>
      <c r="R141" s="1" t="s">
        <v>228</v>
      </c>
      <c r="S141" s="1">
        <f>IFERROR(AVERAGE(Urban[[#This Row],[‫دیسمبر‬‏]]:Urban[[#This Row],[‫اكتوبر‬‏]]),"")</f>
        <v>7632.666666666667</v>
      </c>
      <c r="T141" s="1">
        <f>IFERROR(AVERAGE(Urban[[#This Row],[‫سبتمبر‬‏]]:Urban[[#This Row],[‫یولیو‬‏]]),"")</f>
        <v>7435.666666666667</v>
      </c>
      <c r="U141" s="1">
        <f>IFERROR(AVERAGE(Urban[[#This Row],[‫یونیو‬‏]]:Urban[[#This Row],[‫ابریل‬‏]]),"")</f>
        <v>7042.666666666667</v>
      </c>
      <c r="V141" s="1">
        <f>IFERROR(AVERAGE(Urban[[#This Row],[‫مارس‬‏]]:Urban[[#This Row],[‫ینایر‬‏]]),"")</f>
        <v>6732.666666666667</v>
      </c>
    </row>
    <row r="142" spans="1:22" x14ac:dyDescent="0.35">
      <c r="A142" s="1">
        <v>78</v>
      </c>
      <c r="B142" s="1">
        <v>20174</v>
      </c>
      <c r="C142" s="1">
        <v>21749</v>
      </c>
      <c r="D142" s="1">
        <v>22522</v>
      </c>
      <c r="E142" s="1">
        <v>22296</v>
      </c>
      <c r="F142" s="1">
        <v>21914</v>
      </c>
      <c r="G142" s="1">
        <v>21752</v>
      </c>
      <c r="H142" s="1">
        <v>21654</v>
      </c>
      <c r="I142" s="1">
        <v>21565</v>
      </c>
      <c r="J142" s="1">
        <v>21548</v>
      </c>
      <c r="K142" s="1">
        <v>21367</v>
      </c>
      <c r="L142" s="1">
        <v>21374</v>
      </c>
      <c r="M142" s="1">
        <v>21714</v>
      </c>
      <c r="N142" s="1">
        <v>21641</v>
      </c>
      <c r="O142" s="1">
        <v>21647</v>
      </c>
      <c r="P142" t="s">
        <v>25</v>
      </c>
      <c r="Q142" t="s">
        <v>379</v>
      </c>
      <c r="R142" s="1" t="s">
        <v>228</v>
      </c>
      <c r="S142" s="1">
        <f>IFERROR(AVERAGE(Urban[[#This Row],[‫دیسمبر‬‏]]:Urban[[#This Row],[‫اكتوبر‬‏]]),"")</f>
        <v>22244</v>
      </c>
      <c r="T142" s="1">
        <f>IFERROR(AVERAGE(Urban[[#This Row],[‫سبتمبر‬‏]]:Urban[[#This Row],[‫یولیو‬‏]]),"")</f>
        <v>21657</v>
      </c>
      <c r="U142" s="1">
        <f>IFERROR(AVERAGE(Urban[[#This Row],[‫یونیو‬‏]]:Urban[[#This Row],[‫ابریل‬‏]]),"")</f>
        <v>21429.666666666668</v>
      </c>
      <c r="V142" s="1">
        <f>IFERROR(AVERAGE(Urban[[#This Row],[‫مارس‬‏]]:Urban[[#This Row],[‫ینایر‬‏]]),"")</f>
        <v>21667.333333333332</v>
      </c>
    </row>
    <row r="143" spans="1:22" x14ac:dyDescent="0.35">
      <c r="A143" s="1">
        <v>74</v>
      </c>
      <c r="B143" s="1">
        <v>1210</v>
      </c>
      <c r="C143" s="1">
        <v>1300</v>
      </c>
      <c r="D143" s="1">
        <v>1324</v>
      </c>
      <c r="E143" s="1">
        <v>1325</v>
      </c>
      <c r="F143" s="1">
        <v>1319</v>
      </c>
      <c r="G143" s="1">
        <v>1324</v>
      </c>
      <c r="H143" s="1">
        <v>1310</v>
      </c>
      <c r="I143" s="1">
        <v>1300</v>
      </c>
      <c r="J143" s="1">
        <v>1301</v>
      </c>
      <c r="K143" s="1">
        <v>1293</v>
      </c>
      <c r="L143" s="1">
        <v>1280</v>
      </c>
      <c r="M143" s="1">
        <v>1275</v>
      </c>
      <c r="N143" s="1">
        <v>1275</v>
      </c>
      <c r="O143" s="1">
        <v>1269</v>
      </c>
      <c r="P143" t="s">
        <v>380</v>
      </c>
      <c r="Q143" t="s">
        <v>381</v>
      </c>
      <c r="R143" s="1" t="s">
        <v>228</v>
      </c>
      <c r="S143" s="1">
        <f>IFERROR(AVERAGE(Urban[[#This Row],[‫دیسمبر‬‏]]:Urban[[#This Row],[‫اكتوبر‬‏]]),"")</f>
        <v>1322.6666666666667</v>
      </c>
      <c r="T143" s="1">
        <f>IFERROR(AVERAGE(Urban[[#This Row],[‫سبتمبر‬‏]]:Urban[[#This Row],[‫یولیو‬‏]]),"")</f>
        <v>1311.3333333333333</v>
      </c>
      <c r="U143" s="1">
        <f>IFERROR(AVERAGE(Urban[[#This Row],[‫یونیو‬‏]]:Urban[[#This Row],[‫ابریل‬‏]]),"")</f>
        <v>1291.3333333333333</v>
      </c>
      <c r="V143" s="1">
        <f>IFERROR(AVERAGE(Urban[[#This Row],[‫مارس‬‏]]:Urban[[#This Row],[‫ینایر‬‏]]),"")</f>
        <v>1273</v>
      </c>
    </row>
    <row r="144" spans="1:22" x14ac:dyDescent="0.35">
      <c r="A144" s="1">
        <v>144</v>
      </c>
      <c r="B144" s="1">
        <v>24670</v>
      </c>
      <c r="C144" s="1">
        <v>28212</v>
      </c>
      <c r="D144" s="1">
        <v>29342</v>
      </c>
      <c r="E144" s="1">
        <v>28756</v>
      </c>
      <c r="F144" s="1">
        <v>28484</v>
      </c>
      <c r="G144" s="1">
        <v>28144</v>
      </c>
      <c r="H144" s="1">
        <v>28046</v>
      </c>
      <c r="I144" s="1">
        <v>27819</v>
      </c>
      <c r="J144" s="1">
        <v>28016</v>
      </c>
      <c r="K144" s="1">
        <v>28095</v>
      </c>
      <c r="L144" s="1">
        <v>28379</v>
      </c>
      <c r="M144" s="1">
        <v>28004</v>
      </c>
      <c r="N144" s="1">
        <v>27799</v>
      </c>
      <c r="O144" s="1">
        <v>27663</v>
      </c>
      <c r="P144" t="s">
        <v>25</v>
      </c>
      <c r="Q144" t="s">
        <v>382</v>
      </c>
      <c r="R144" s="1" t="s">
        <v>228</v>
      </c>
      <c r="S144" s="1">
        <f>IFERROR(AVERAGE(Urban[[#This Row],[‫دیسمبر‬‏]]:Urban[[#This Row],[‫اكتوبر‬‏]]),"")</f>
        <v>28860.666666666668</v>
      </c>
      <c r="T144" s="1">
        <f>IFERROR(AVERAGE(Urban[[#This Row],[‫سبتمبر‬‏]]:Urban[[#This Row],[‫یولیو‬‏]]),"")</f>
        <v>28003</v>
      </c>
      <c r="U144" s="1">
        <f>IFERROR(AVERAGE(Urban[[#This Row],[‫یونیو‬‏]]:Urban[[#This Row],[‫ابریل‬‏]]),"")</f>
        <v>28163.333333333332</v>
      </c>
      <c r="V144" s="1">
        <f>IFERROR(AVERAGE(Urban[[#This Row],[‫مارس‬‏]]:Urban[[#This Row],[‫ینایر‬‏]]),"")</f>
        <v>27822</v>
      </c>
    </row>
    <row r="145" spans="1:22" x14ac:dyDescent="0.35">
      <c r="A145" s="1">
        <v>153</v>
      </c>
      <c r="B145" s="1">
        <v>20835</v>
      </c>
      <c r="C145" s="1">
        <v>24017</v>
      </c>
      <c r="D145" s="1">
        <v>24849</v>
      </c>
      <c r="E145" s="1">
        <v>24405</v>
      </c>
      <c r="F145" s="1">
        <v>24248</v>
      </c>
      <c r="G145" s="1">
        <v>24020</v>
      </c>
      <c r="H145" s="1">
        <v>23889</v>
      </c>
      <c r="I145" s="1">
        <v>23665</v>
      </c>
      <c r="J145" s="1">
        <v>23833</v>
      </c>
      <c r="K145" s="1">
        <v>24025</v>
      </c>
      <c r="L145" s="1">
        <v>24250</v>
      </c>
      <c r="M145" s="1">
        <v>23805</v>
      </c>
      <c r="N145" s="1">
        <v>23681</v>
      </c>
      <c r="O145" s="1">
        <v>23540</v>
      </c>
      <c r="P145" t="s">
        <v>25</v>
      </c>
      <c r="Q145" t="s">
        <v>383</v>
      </c>
      <c r="R145" s="1" t="s">
        <v>228</v>
      </c>
      <c r="S145" s="1">
        <f>IFERROR(AVERAGE(Urban[[#This Row],[‫دیسمبر‬‏]]:Urban[[#This Row],[‫اكتوبر‬‏]]),"")</f>
        <v>24500.666666666668</v>
      </c>
      <c r="T145" s="1">
        <f>IFERROR(AVERAGE(Urban[[#This Row],[‫سبتمبر‬‏]]:Urban[[#This Row],[‫یولیو‬‏]]),"")</f>
        <v>23858</v>
      </c>
      <c r="U145" s="1">
        <f>IFERROR(AVERAGE(Urban[[#This Row],[‫یونیو‬‏]]:Urban[[#This Row],[‫ابریل‬‏]]),"")</f>
        <v>24036</v>
      </c>
      <c r="V145" s="1">
        <f>IFERROR(AVERAGE(Urban[[#This Row],[‫مارس‬‏]]:Urban[[#This Row],[‫ینایر‬‏]]),"")</f>
        <v>23675.333333333332</v>
      </c>
    </row>
    <row r="146" spans="1:22" x14ac:dyDescent="0.35">
      <c r="A146" s="1">
        <v>75</v>
      </c>
      <c r="B146" s="1">
        <v>35847</v>
      </c>
      <c r="C146" s="1">
        <v>38547</v>
      </c>
      <c r="D146" s="1">
        <v>40063</v>
      </c>
      <c r="E146" s="1">
        <v>39421</v>
      </c>
      <c r="F146" s="1">
        <v>39176</v>
      </c>
      <c r="G146" s="1">
        <v>38698</v>
      </c>
      <c r="H146" s="1">
        <v>38538</v>
      </c>
      <c r="I146" s="1">
        <v>38400</v>
      </c>
      <c r="J146" s="1">
        <v>38312</v>
      </c>
      <c r="K146" s="1">
        <v>38246</v>
      </c>
      <c r="L146" s="1">
        <v>38271</v>
      </c>
      <c r="M146" s="1">
        <v>38108</v>
      </c>
      <c r="N146" s="1">
        <v>37786</v>
      </c>
      <c r="O146" s="1">
        <v>37550</v>
      </c>
      <c r="P146" t="s">
        <v>25</v>
      </c>
      <c r="Q146" t="s">
        <v>384</v>
      </c>
      <c r="R146" s="1" t="s">
        <v>228</v>
      </c>
      <c r="S146" s="1">
        <f>IFERROR(AVERAGE(Urban[[#This Row],[‫دیسمبر‬‏]]:Urban[[#This Row],[‫اكتوبر‬‏]]),"")</f>
        <v>39553.333333333336</v>
      </c>
      <c r="T146" s="1">
        <f>IFERROR(AVERAGE(Urban[[#This Row],[‫سبتمبر‬‏]]:Urban[[#This Row],[‫یولیو‬‏]]),"")</f>
        <v>38545.333333333336</v>
      </c>
      <c r="U146" s="1">
        <f>IFERROR(AVERAGE(Urban[[#This Row],[‫یونیو‬‏]]:Urban[[#This Row],[‫ابریل‬‏]]),"")</f>
        <v>38276.333333333336</v>
      </c>
      <c r="V146" s="1">
        <f>IFERROR(AVERAGE(Urban[[#This Row],[‫مارس‬‏]]:Urban[[#This Row],[‫ینایر‬‏]]),"")</f>
        <v>37814.666666666664</v>
      </c>
    </row>
    <row r="147" spans="1:22" x14ac:dyDescent="0.35">
      <c r="A147" s="1">
        <v>120</v>
      </c>
      <c r="B147" s="1">
        <v>867</v>
      </c>
      <c r="C147" s="1">
        <v>971</v>
      </c>
      <c r="D147" s="1">
        <v>1007</v>
      </c>
      <c r="E147" s="1">
        <v>1000</v>
      </c>
      <c r="F147" s="1">
        <v>997</v>
      </c>
      <c r="G147" s="1">
        <v>983</v>
      </c>
      <c r="H147" s="1">
        <v>975</v>
      </c>
      <c r="I147" s="1">
        <v>975</v>
      </c>
      <c r="J147" s="1">
        <v>972</v>
      </c>
      <c r="K147" s="1">
        <v>968</v>
      </c>
      <c r="L147" s="1">
        <v>946</v>
      </c>
      <c r="M147" s="1">
        <v>949</v>
      </c>
      <c r="N147" s="1">
        <v>942</v>
      </c>
      <c r="O147" s="1">
        <v>933</v>
      </c>
      <c r="P147" t="s">
        <v>385</v>
      </c>
      <c r="Q147" t="s">
        <v>386</v>
      </c>
      <c r="R147" s="1" t="s">
        <v>228</v>
      </c>
      <c r="S147" s="1">
        <f>IFERROR(AVERAGE(Urban[[#This Row],[‫دیسمبر‬‏]]:Urban[[#This Row],[‫اكتوبر‬‏]]),"")</f>
        <v>1001.3333333333334</v>
      </c>
      <c r="T147" s="1">
        <f>IFERROR(AVERAGE(Urban[[#This Row],[‫سبتمبر‬‏]]:Urban[[#This Row],[‫یولیو‬‏]]),"")</f>
        <v>977.66666666666663</v>
      </c>
      <c r="U147" s="1">
        <f>IFERROR(AVERAGE(Urban[[#This Row],[‫یونیو‬‏]]:Urban[[#This Row],[‫ابریل‬‏]]),"")</f>
        <v>962</v>
      </c>
      <c r="V147" s="1">
        <f>IFERROR(AVERAGE(Urban[[#This Row],[‫مارس‬‏]]:Urban[[#This Row],[‫ینایر‬‏]]),"")</f>
        <v>941.33333333333337</v>
      </c>
    </row>
    <row r="148" spans="1:22" x14ac:dyDescent="0.35">
      <c r="A148" s="1">
        <v>143</v>
      </c>
      <c r="B148" s="1">
        <v>1030</v>
      </c>
      <c r="C148" s="1">
        <v>1177</v>
      </c>
      <c r="D148" s="1">
        <v>1225</v>
      </c>
      <c r="E148" s="1">
        <v>1222</v>
      </c>
      <c r="F148" s="1">
        <v>1221</v>
      </c>
      <c r="G148" s="1">
        <v>1214</v>
      </c>
      <c r="H148" s="1">
        <v>1209</v>
      </c>
      <c r="I148" s="1">
        <v>1200</v>
      </c>
      <c r="J148" s="1">
        <v>1196</v>
      </c>
      <c r="K148" s="1">
        <v>1190</v>
      </c>
      <c r="L148" s="1">
        <v>1118</v>
      </c>
      <c r="M148" s="1">
        <v>1111</v>
      </c>
      <c r="N148" s="1">
        <v>1107</v>
      </c>
      <c r="O148" s="1">
        <v>1105</v>
      </c>
      <c r="P148" t="s">
        <v>387</v>
      </c>
      <c r="Q148" t="s">
        <v>388</v>
      </c>
      <c r="R148" s="1" t="s">
        <v>228</v>
      </c>
      <c r="S148" s="1">
        <f>IFERROR(AVERAGE(Urban[[#This Row],[‫دیسمبر‬‏]]:Urban[[#This Row],[‫اكتوبر‬‏]]),"")</f>
        <v>1222.6666666666667</v>
      </c>
      <c r="T148" s="1">
        <f>IFERROR(AVERAGE(Urban[[#This Row],[‫سبتمبر‬‏]]:Urban[[#This Row],[‫یولیو‬‏]]),"")</f>
        <v>1207.6666666666667</v>
      </c>
      <c r="U148" s="1">
        <f>IFERROR(AVERAGE(Urban[[#This Row],[‫یونیو‬‏]]:Urban[[#This Row],[‫ابریل‬‏]]),"")</f>
        <v>1168</v>
      </c>
      <c r="V148" s="1">
        <f>IFERROR(AVERAGE(Urban[[#This Row],[‫مارس‬‏]]:Urban[[#This Row],[‫ینایر‬‏]]),"")</f>
        <v>1107.6666666666667</v>
      </c>
    </row>
    <row r="149" spans="1:22" x14ac:dyDescent="0.35">
      <c r="A149" s="1">
        <v>53</v>
      </c>
      <c r="B149" s="1">
        <v>14874</v>
      </c>
      <c r="C149" s="1">
        <v>15665</v>
      </c>
      <c r="D149" s="1">
        <v>15899</v>
      </c>
      <c r="E149" s="1">
        <v>15824</v>
      </c>
      <c r="F149" s="1">
        <v>15831</v>
      </c>
      <c r="G149" s="1">
        <v>15802</v>
      </c>
      <c r="H149" s="1">
        <v>15772</v>
      </c>
      <c r="I149" s="1">
        <v>15774</v>
      </c>
      <c r="J149" s="1">
        <v>15697</v>
      </c>
      <c r="K149" s="1">
        <v>15614</v>
      </c>
      <c r="L149" s="1">
        <v>15538</v>
      </c>
      <c r="M149" s="1">
        <v>15493</v>
      </c>
      <c r="N149" s="1">
        <v>15453</v>
      </c>
      <c r="O149" s="1">
        <v>15289</v>
      </c>
      <c r="P149" t="s">
        <v>389</v>
      </c>
      <c r="Q149" t="s">
        <v>390</v>
      </c>
      <c r="R149" s="1" t="s">
        <v>228</v>
      </c>
      <c r="S149" s="1">
        <f>IFERROR(AVERAGE(Urban[[#This Row],[‫دیسمبر‬‏]]:Urban[[#This Row],[‫اكتوبر‬‏]]),"")</f>
        <v>15851.333333333334</v>
      </c>
      <c r="T149" s="1">
        <f>IFERROR(AVERAGE(Urban[[#This Row],[‫سبتمبر‬‏]]:Urban[[#This Row],[‫یولیو‬‏]]),"")</f>
        <v>15782.666666666666</v>
      </c>
      <c r="U149" s="1">
        <f>IFERROR(AVERAGE(Urban[[#This Row],[‫یونیو‬‏]]:Urban[[#This Row],[‫ابریل‬‏]]),"")</f>
        <v>15616.333333333334</v>
      </c>
      <c r="V149" s="1">
        <f>IFERROR(AVERAGE(Urban[[#This Row],[‫مارس‬‏]]:Urban[[#This Row],[‫ینایر‬‏]]),"")</f>
        <v>15411.666666666666</v>
      </c>
    </row>
    <row r="150" spans="1:22" x14ac:dyDescent="0.35">
      <c r="A150" s="1">
        <v>44</v>
      </c>
      <c r="B150" s="1">
        <v>7891</v>
      </c>
      <c r="C150" s="1">
        <v>8237</v>
      </c>
      <c r="D150" s="1">
        <v>8433</v>
      </c>
      <c r="E150" s="1">
        <v>8287</v>
      </c>
      <c r="F150" s="1">
        <v>8286</v>
      </c>
      <c r="G150" s="1">
        <v>8296</v>
      </c>
      <c r="H150" s="1">
        <v>8283</v>
      </c>
      <c r="I150" s="1">
        <v>8315</v>
      </c>
      <c r="J150" s="1">
        <v>8280</v>
      </c>
      <c r="K150" s="1">
        <v>8223</v>
      </c>
      <c r="L150" s="1">
        <v>8155</v>
      </c>
      <c r="M150" s="1">
        <v>8126</v>
      </c>
      <c r="N150" s="1">
        <v>8105</v>
      </c>
      <c r="O150" s="1">
        <v>8055</v>
      </c>
      <c r="P150" t="s">
        <v>391</v>
      </c>
      <c r="Q150" t="s">
        <v>392</v>
      </c>
      <c r="R150" s="1" t="s">
        <v>228</v>
      </c>
      <c r="S150" s="1">
        <f>IFERROR(AVERAGE(Urban[[#This Row],[‫دیسمبر‬‏]]:Urban[[#This Row],[‫اكتوبر‬‏]]),"")</f>
        <v>8335.3333333333339</v>
      </c>
      <c r="T150" s="1">
        <f>IFERROR(AVERAGE(Urban[[#This Row],[‫سبتمبر‬‏]]:Urban[[#This Row],[‫یولیو‬‏]]),"")</f>
        <v>8298</v>
      </c>
      <c r="U150" s="1">
        <f>IFERROR(AVERAGE(Urban[[#This Row],[‫یونیو‬‏]]:Urban[[#This Row],[‫ابریل‬‏]]),"")</f>
        <v>8219.3333333333339</v>
      </c>
      <c r="V150" s="1">
        <f>IFERROR(AVERAGE(Urban[[#This Row],[‫مارس‬‏]]:Urban[[#This Row],[‫ینایر‬‏]]),"")</f>
        <v>8095.333333333333</v>
      </c>
    </row>
    <row r="151" spans="1:22" x14ac:dyDescent="0.35">
      <c r="A151" s="1">
        <v>165</v>
      </c>
      <c r="B151" s="1">
        <v>7409</v>
      </c>
      <c r="C151" s="1">
        <v>8633</v>
      </c>
      <c r="D151" s="1">
        <v>9052</v>
      </c>
      <c r="E151" s="1">
        <v>9068</v>
      </c>
      <c r="F151" s="1">
        <v>8931</v>
      </c>
      <c r="G151" s="1">
        <v>8865</v>
      </c>
      <c r="H151" s="1">
        <v>8852</v>
      </c>
      <c r="I151" s="1">
        <v>8788</v>
      </c>
      <c r="J151" s="1">
        <v>8582</v>
      </c>
      <c r="K151" s="1">
        <v>8481</v>
      </c>
      <c r="L151" s="1">
        <v>8360</v>
      </c>
      <c r="M151" s="1">
        <v>8303</v>
      </c>
      <c r="N151" s="1">
        <v>8247</v>
      </c>
      <c r="O151" s="1">
        <v>8067</v>
      </c>
      <c r="P151" t="s">
        <v>366</v>
      </c>
      <c r="Q151" t="s">
        <v>393</v>
      </c>
      <c r="R151" s="1" t="s">
        <v>228</v>
      </c>
      <c r="S151" s="1">
        <f>IFERROR(AVERAGE(Urban[[#This Row],[‫دیسمبر‬‏]]:Urban[[#This Row],[‫اكتوبر‬‏]]),"")</f>
        <v>9017</v>
      </c>
      <c r="T151" s="1">
        <f>IFERROR(AVERAGE(Urban[[#This Row],[‫سبتمبر‬‏]]:Urban[[#This Row],[‫یولیو‬‏]]),"")</f>
        <v>8835</v>
      </c>
      <c r="U151" s="1">
        <f>IFERROR(AVERAGE(Urban[[#This Row],[‫یونیو‬‏]]:Urban[[#This Row],[‫ابریل‬‏]]),"")</f>
        <v>8474.3333333333339</v>
      </c>
      <c r="V151" s="1">
        <f>IFERROR(AVERAGE(Urban[[#This Row],[‫مارس‬‏]]:Urban[[#This Row],[‫ینایر‬‏]]),"")</f>
        <v>8205.6666666666661</v>
      </c>
    </row>
    <row r="152" spans="1:22" x14ac:dyDescent="0.35">
      <c r="A152" s="1">
        <v>113</v>
      </c>
      <c r="B152" s="1">
        <v>4353</v>
      </c>
      <c r="C152" s="1">
        <v>4847</v>
      </c>
      <c r="D152" s="1">
        <v>4979</v>
      </c>
      <c r="E152" s="1">
        <v>4980</v>
      </c>
      <c r="F152" s="1">
        <v>4962</v>
      </c>
      <c r="G152" s="1">
        <v>4938</v>
      </c>
      <c r="H152" s="1">
        <v>4939</v>
      </c>
      <c r="I152" s="1">
        <v>4938</v>
      </c>
      <c r="J152" s="1">
        <v>4894</v>
      </c>
      <c r="K152" s="1">
        <v>4830</v>
      </c>
      <c r="L152" s="1">
        <v>4767</v>
      </c>
      <c r="M152" s="1">
        <v>4672</v>
      </c>
      <c r="N152" s="1">
        <v>4660</v>
      </c>
      <c r="O152" s="1">
        <v>4601</v>
      </c>
      <c r="P152" t="s">
        <v>25</v>
      </c>
      <c r="Q152" t="s">
        <v>394</v>
      </c>
      <c r="R152" s="1" t="s">
        <v>228</v>
      </c>
      <c r="S152" s="1">
        <f>IFERROR(AVERAGE(Urban[[#This Row],[‫دیسمبر‬‏]]:Urban[[#This Row],[‫اكتوبر‬‏]]),"")</f>
        <v>4973.666666666667</v>
      </c>
      <c r="T152" s="1">
        <f>IFERROR(AVERAGE(Urban[[#This Row],[‫سبتمبر‬‏]]:Urban[[#This Row],[‫یولیو‬‏]]),"")</f>
        <v>4938.333333333333</v>
      </c>
      <c r="U152" s="1">
        <f>IFERROR(AVERAGE(Urban[[#This Row],[‫یونیو‬‏]]:Urban[[#This Row],[‫ابریل‬‏]]),"")</f>
        <v>4830.333333333333</v>
      </c>
      <c r="V152" s="1">
        <f>IFERROR(AVERAGE(Urban[[#This Row],[‫مارس‬‏]]:Urban[[#This Row],[‫ینایر‬‏]]),"")</f>
        <v>4644.333333333333</v>
      </c>
    </row>
    <row r="153" spans="1:22" x14ac:dyDescent="0.35">
      <c r="A153" s="1">
        <v>55</v>
      </c>
      <c r="B153" s="1">
        <v>15515</v>
      </c>
      <c r="C153" s="1">
        <v>16375</v>
      </c>
      <c r="D153" s="1">
        <v>16488</v>
      </c>
      <c r="E153" s="1">
        <v>16584</v>
      </c>
      <c r="F153" s="1">
        <v>16596</v>
      </c>
      <c r="G153" s="1">
        <v>16495</v>
      </c>
      <c r="H153" s="1">
        <v>16470</v>
      </c>
      <c r="I153" s="1">
        <v>16515</v>
      </c>
      <c r="J153" s="1">
        <v>16462</v>
      </c>
      <c r="K153" s="1">
        <v>16389</v>
      </c>
      <c r="L153" s="1">
        <v>16268</v>
      </c>
      <c r="M153" s="1">
        <v>16201</v>
      </c>
      <c r="N153" s="1">
        <v>16050</v>
      </c>
      <c r="O153" s="1">
        <v>15977</v>
      </c>
      <c r="P153" t="s">
        <v>25</v>
      </c>
      <c r="Q153" t="s">
        <v>395</v>
      </c>
      <c r="R153" s="1" t="s">
        <v>228</v>
      </c>
      <c r="S153" s="1">
        <f>IFERROR(AVERAGE(Urban[[#This Row],[‫دیسمبر‬‏]]:Urban[[#This Row],[‫اكتوبر‬‏]]),"")</f>
        <v>16556</v>
      </c>
      <c r="T153" s="1">
        <f>IFERROR(AVERAGE(Urban[[#This Row],[‫سبتمبر‬‏]]:Urban[[#This Row],[‫یولیو‬‏]]),"")</f>
        <v>16493.333333333332</v>
      </c>
      <c r="U153" s="1">
        <f>IFERROR(AVERAGE(Urban[[#This Row],[‫یونیو‬‏]]:Urban[[#This Row],[‫ابریل‬‏]]),"")</f>
        <v>16373</v>
      </c>
      <c r="V153" s="1">
        <f>IFERROR(AVERAGE(Urban[[#This Row],[‫مارس‬‏]]:Urban[[#This Row],[‫ینایر‬‏]]),"")</f>
        <v>16076</v>
      </c>
    </row>
    <row r="154" spans="1:22" x14ac:dyDescent="0.35">
      <c r="A154" s="1">
        <v>310</v>
      </c>
      <c r="B154" s="1">
        <v>8453</v>
      </c>
      <c r="C154" s="1">
        <v>11074</v>
      </c>
      <c r="D154" s="1">
        <v>11637</v>
      </c>
      <c r="E154" s="1">
        <v>11594</v>
      </c>
      <c r="F154" s="1">
        <v>11541</v>
      </c>
      <c r="G154" s="1">
        <v>11365</v>
      </c>
      <c r="H154" s="1">
        <v>11196</v>
      </c>
      <c r="I154" s="1">
        <v>11104</v>
      </c>
      <c r="J154" s="1">
        <v>11080</v>
      </c>
      <c r="K154" s="1">
        <v>10921</v>
      </c>
      <c r="L154" s="1">
        <v>10798</v>
      </c>
      <c r="M154" s="1">
        <v>10760</v>
      </c>
      <c r="N154" s="1">
        <v>10662</v>
      </c>
      <c r="O154" s="1">
        <v>10230</v>
      </c>
      <c r="P154" t="s">
        <v>25</v>
      </c>
      <c r="Q154" t="s">
        <v>396</v>
      </c>
      <c r="R154" s="1" t="s">
        <v>228</v>
      </c>
      <c r="S154" s="1">
        <f>IFERROR(AVERAGE(Urban[[#This Row],[‫دیسمبر‬‏]]:Urban[[#This Row],[‫اكتوبر‬‏]]),"")</f>
        <v>11590.666666666666</v>
      </c>
      <c r="T154" s="1">
        <f>IFERROR(AVERAGE(Urban[[#This Row],[‫سبتمبر‬‏]]:Urban[[#This Row],[‫یولیو‬‏]]),"")</f>
        <v>11221.666666666666</v>
      </c>
      <c r="U154" s="1">
        <f>IFERROR(AVERAGE(Urban[[#This Row],[‫یونیو‬‏]]:Urban[[#This Row],[‫ابریل‬‏]]),"")</f>
        <v>10933</v>
      </c>
      <c r="V154" s="1">
        <f>IFERROR(AVERAGE(Urban[[#This Row],[‫مارس‬‏]]:Urban[[#This Row],[‫ینایر‬‏]]),"")</f>
        <v>10550.666666666666</v>
      </c>
    </row>
    <row r="155" spans="1:22" x14ac:dyDescent="0.35">
      <c r="A155" s="1">
        <v>320</v>
      </c>
      <c r="B155" s="1">
        <v>9028</v>
      </c>
      <c r="C155" s="1">
        <v>11914</v>
      </c>
      <c r="D155" s="1">
        <v>12530</v>
      </c>
      <c r="E155" s="1">
        <v>12594</v>
      </c>
      <c r="F155" s="1">
        <v>12403</v>
      </c>
      <c r="G155" s="1">
        <v>12247</v>
      </c>
      <c r="H155" s="1">
        <v>12120</v>
      </c>
      <c r="I155" s="1">
        <v>12077</v>
      </c>
      <c r="J155" s="1">
        <v>11946</v>
      </c>
      <c r="K155" s="1">
        <v>11795</v>
      </c>
      <c r="L155" s="1">
        <v>11606</v>
      </c>
      <c r="M155" s="1">
        <v>11435</v>
      </c>
      <c r="N155" s="1">
        <v>11343</v>
      </c>
      <c r="O155" s="1">
        <v>10876</v>
      </c>
      <c r="P155" t="s">
        <v>25</v>
      </c>
      <c r="Q155" t="s">
        <v>397</v>
      </c>
      <c r="R155" s="1" t="s">
        <v>228</v>
      </c>
      <c r="S155" s="1">
        <f>IFERROR(AVERAGE(Urban[[#This Row],[‫دیسمبر‬‏]]:Urban[[#This Row],[‫اكتوبر‬‏]]),"")</f>
        <v>12509</v>
      </c>
      <c r="T155" s="1">
        <f>IFERROR(AVERAGE(Urban[[#This Row],[‫سبتمبر‬‏]]:Urban[[#This Row],[‫یولیو‬‏]]),"")</f>
        <v>12148</v>
      </c>
      <c r="U155" s="1">
        <f>IFERROR(AVERAGE(Urban[[#This Row],[‫یونیو‬‏]]:Urban[[#This Row],[‫ابریل‬‏]]),"")</f>
        <v>11782.333333333334</v>
      </c>
      <c r="V155" s="1">
        <f>IFERROR(AVERAGE(Urban[[#This Row],[‫مارس‬‏]]:Urban[[#This Row],[‫ینایر‬‏]]),"")</f>
        <v>11218</v>
      </c>
    </row>
    <row r="156" spans="1:22" x14ac:dyDescent="0.35">
      <c r="A156" s="1">
        <v>79</v>
      </c>
      <c r="B156" s="1">
        <v>12032</v>
      </c>
      <c r="C156" s="1">
        <v>12984</v>
      </c>
      <c r="D156" s="1">
        <v>13380</v>
      </c>
      <c r="E156" s="1">
        <v>13239</v>
      </c>
      <c r="F156" s="1">
        <v>13264</v>
      </c>
      <c r="G156" s="1">
        <v>12991</v>
      </c>
      <c r="H156" s="1">
        <v>12984</v>
      </c>
      <c r="I156" s="1">
        <v>13112</v>
      </c>
      <c r="J156" s="1">
        <v>12890</v>
      </c>
      <c r="K156" s="1">
        <v>12911</v>
      </c>
      <c r="L156" s="1">
        <v>12782</v>
      </c>
      <c r="M156" s="1">
        <v>12704</v>
      </c>
      <c r="N156" s="1">
        <v>12720</v>
      </c>
      <c r="O156" s="1">
        <v>12829</v>
      </c>
      <c r="P156" t="s">
        <v>25</v>
      </c>
      <c r="Q156" t="s">
        <v>398</v>
      </c>
      <c r="R156" s="1" t="s">
        <v>228</v>
      </c>
      <c r="S156" s="1">
        <f>IFERROR(AVERAGE(Urban[[#This Row],[‫دیسمبر‬‏]]:Urban[[#This Row],[‫اكتوبر‬‏]]),"")</f>
        <v>13294.333333333334</v>
      </c>
      <c r="T156" s="1">
        <f>IFERROR(AVERAGE(Urban[[#This Row],[‫سبتمبر‬‏]]:Urban[[#This Row],[‫یولیو‬‏]]),"")</f>
        <v>13029</v>
      </c>
      <c r="U156" s="1">
        <f>IFERROR(AVERAGE(Urban[[#This Row],[‫یونیو‬‏]]:Urban[[#This Row],[‫ابریل‬‏]]),"")</f>
        <v>12861</v>
      </c>
      <c r="V156" s="1">
        <f>IFERROR(AVERAGE(Urban[[#This Row],[‫مارس‬‏]]:Urban[[#This Row],[‫ینایر‬‏]]),"")</f>
        <v>12751</v>
      </c>
    </row>
    <row r="157" spans="1:22" x14ac:dyDescent="0.35">
      <c r="A157" s="1">
        <v>26</v>
      </c>
      <c r="B157" s="1">
        <v>2780</v>
      </c>
      <c r="C157" s="1">
        <v>2853</v>
      </c>
      <c r="D157" s="1">
        <v>2864</v>
      </c>
      <c r="E157" s="1">
        <v>2873</v>
      </c>
      <c r="F157" s="1">
        <v>2865</v>
      </c>
      <c r="G157" s="1">
        <v>2851</v>
      </c>
      <c r="H157" s="1">
        <v>2855</v>
      </c>
      <c r="I157" s="1">
        <v>2841</v>
      </c>
      <c r="J157" s="1">
        <v>2836</v>
      </c>
      <c r="K157" s="1">
        <v>2852</v>
      </c>
      <c r="L157" s="1">
        <v>2856</v>
      </c>
      <c r="M157" s="1">
        <v>2847</v>
      </c>
      <c r="N157" s="1">
        <v>2842</v>
      </c>
      <c r="O157" s="1">
        <v>2859</v>
      </c>
      <c r="P157" t="s">
        <v>25</v>
      </c>
      <c r="Q157" t="s">
        <v>399</v>
      </c>
      <c r="R157" s="1" t="s">
        <v>228</v>
      </c>
      <c r="S157" s="1">
        <f>IFERROR(AVERAGE(Urban[[#This Row],[‫دیسمبر‬‏]]:Urban[[#This Row],[‫اكتوبر‬‏]]),"")</f>
        <v>2867.3333333333335</v>
      </c>
      <c r="T157" s="1">
        <f>IFERROR(AVERAGE(Urban[[#This Row],[‫سبتمبر‬‏]]:Urban[[#This Row],[‫یولیو‬‏]]),"")</f>
        <v>2849</v>
      </c>
      <c r="U157" s="1">
        <f>IFERROR(AVERAGE(Urban[[#This Row],[‫یونیو‬‏]]:Urban[[#This Row],[‫ابریل‬‏]]),"")</f>
        <v>2848</v>
      </c>
      <c r="V157" s="1">
        <f>IFERROR(AVERAGE(Urban[[#This Row],[‫مارس‬‏]]:Urban[[#This Row],[‫ینایر‬‏]]),"")</f>
        <v>2849.3333333333335</v>
      </c>
    </row>
    <row r="158" spans="1:22" x14ac:dyDescent="0.35">
      <c r="A158" s="1">
        <v>54</v>
      </c>
      <c r="B158" s="1">
        <v>3005</v>
      </c>
      <c r="C158" s="1">
        <v>3168</v>
      </c>
      <c r="D158" s="1">
        <v>3181</v>
      </c>
      <c r="E158" s="1">
        <v>3171</v>
      </c>
      <c r="F158" s="1">
        <v>3205</v>
      </c>
      <c r="G158" s="1">
        <v>3193</v>
      </c>
      <c r="H158" s="1">
        <v>3197</v>
      </c>
      <c r="I158" s="1">
        <v>3175</v>
      </c>
      <c r="J158" s="1">
        <v>3167</v>
      </c>
      <c r="K158" s="1">
        <v>3159</v>
      </c>
      <c r="L158" s="1">
        <v>3159</v>
      </c>
      <c r="M158" s="1">
        <v>3148</v>
      </c>
      <c r="N158" s="1">
        <v>3134</v>
      </c>
      <c r="O158" s="1">
        <v>3128</v>
      </c>
      <c r="P158" t="s">
        <v>25</v>
      </c>
      <c r="Q158" t="s">
        <v>400</v>
      </c>
      <c r="R158" s="1" t="s">
        <v>228</v>
      </c>
      <c r="S158" s="1">
        <f>IFERROR(AVERAGE(Urban[[#This Row],[‫دیسمبر‬‏]]:Urban[[#This Row],[‫اكتوبر‬‏]]),"")</f>
        <v>3185.6666666666665</v>
      </c>
      <c r="T158" s="1">
        <f>IFERROR(AVERAGE(Urban[[#This Row],[‫سبتمبر‬‏]]:Urban[[#This Row],[‫یولیو‬‏]]),"")</f>
        <v>3188.3333333333335</v>
      </c>
      <c r="U158" s="1">
        <f>IFERROR(AVERAGE(Urban[[#This Row],[‫یونیو‬‏]]:Urban[[#This Row],[‫ابریل‬‏]]),"")</f>
        <v>3161.6666666666665</v>
      </c>
      <c r="V158" s="1">
        <f>IFERROR(AVERAGE(Urban[[#This Row],[‫مارس‬‏]]:Urban[[#This Row],[‫ینایر‬‏]]),"")</f>
        <v>3136.6666666666665</v>
      </c>
    </row>
    <row r="159" spans="1:22" x14ac:dyDescent="0.35">
      <c r="A159" s="1">
        <v>-254</v>
      </c>
      <c r="B159" s="1">
        <v>3082</v>
      </c>
      <c r="C159" s="1">
        <v>2299</v>
      </c>
      <c r="D159" s="1">
        <v>2364</v>
      </c>
      <c r="E159" s="1">
        <v>2390</v>
      </c>
      <c r="F159" s="1">
        <v>2353</v>
      </c>
      <c r="G159" s="1">
        <v>2316</v>
      </c>
      <c r="H159" s="1">
        <v>2304</v>
      </c>
      <c r="I159" s="1">
        <v>2325</v>
      </c>
      <c r="J159" s="1">
        <v>2307</v>
      </c>
      <c r="K159" s="1">
        <v>2296</v>
      </c>
      <c r="L159" s="1">
        <v>2252</v>
      </c>
      <c r="M159" s="1">
        <v>2240</v>
      </c>
      <c r="N159" s="1">
        <v>2237</v>
      </c>
      <c r="O159" s="1">
        <v>2211</v>
      </c>
      <c r="P159" t="s">
        <v>363</v>
      </c>
      <c r="Q159" t="s">
        <v>401</v>
      </c>
      <c r="R159" s="1" t="s">
        <v>228</v>
      </c>
      <c r="S159" s="1">
        <f>IFERROR(AVERAGE(Urban[[#This Row],[‫دیسمبر‬‏]]:Urban[[#This Row],[‫اكتوبر‬‏]]),"")</f>
        <v>2369</v>
      </c>
      <c r="T159" s="1">
        <f>IFERROR(AVERAGE(Urban[[#This Row],[‫سبتمبر‬‏]]:Urban[[#This Row],[‫یولیو‬‏]]),"")</f>
        <v>2315</v>
      </c>
      <c r="U159" s="1">
        <f>IFERROR(AVERAGE(Urban[[#This Row],[‫یونیو‬‏]]:Urban[[#This Row],[‫ابریل‬‏]]),"")</f>
        <v>2285</v>
      </c>
      <c r="V159" s="1">
        <f>IFERROR(AVERAGE(Urban[[#This Row],[‫مارس‬‏]]:Urban[[#This Row],[‫ینایر‬‏]]),"")</f>
        <v>2229.3333333333335</v>
      </c>
    </row>
    <row r="160" spans="1:22" x14ac:dyDescent="0.35">
      <c r="A160" s="1">
        <v>75</v>
      </c>
      <c r="B160" s="1">
        <v>2193</v>
      </c>
      <c r="C160" s="1">
        <v>2356</v>
      </c>
      <c r="D160" s="1">
        <v>2425</v>
      </c>
      <c r="E160" s="1">
        <v>2420</v>
      </c>
      <c r="F160" s="1">
        <v>2398</v>
      </c>
      <c r="G160" s="1">
        <v>2381</v>
      </c>
      <c r="H160" s="1">
        <v>2377</v>
      </c>
      <c r="I160" s="1">
        <v>2383</v>
      </c>
      <c r="J160" s="1">
        <v>2365</v>
      </c>
      <c r="K160" s="1">
        <v>2347</v>
      </c>
      <c r="L160" s="1">
        <v>2325</v>
      </c>
      <c r="M160" s="1">
        <v>2301</v>
      </c>
      <c r="N160" s="1">
        <v>2283</v>
      </c>
      <c r="O160" s="1">
        <v>2271</v>
      </c>
      <c r="P160" t="s">
        <v>363</v>
      </c>
      <c r="Q160" t="s">
        <v>402</v>
      </c>
      <c r="R160" s="1" t="s">
        <v>228</v>
      </c>
      <c r="S160" s="1">
        <f>IFERROR(AVERAGE(Urban[[#This Row],[‫دیسمبر‬‏]]:Urban[[#This Row],[‫اكتوبر‬‏]]),"")</f>
        <v>2414.3333333333335</v>
      </c>
      <c r="T160" s="1">
        <f>IFERROR(AVERAGE(Urban[[#This Row],[‫سبتمبر‬‏]]:Urban[[#This Row],[‫یولیو‬‏]]),"")</f>
        <v>2380.3333333333335</v>
      </c>
      <c r="U160" s="1">
        <f>IFERROR(AVERAGE(Urban[[#This Row],[‫یونیو‬‏]]:Urban[[#This Row],[‫ابریل‬‏]]),"")</f>
        <v>2345.6666666666665</v>
      </c>
      <c r="V160" s="1">
        <f>IFERROR(AVERAGE(Urban[[#This Row],[‫مارس‬‏]]:Urban[[#This Row],[‫ینایر‬‏]]),"")</f>
        <v>2285</v>
      </c>
    </row>
    <row r="161" spans="1:22" x14ac:dyDescent="0.35">
      <c r="A161" s="1">
        <v>14</v>
      </c>
      <c r="B161" s="1">
        <v>4256</v>
      </c>
      <c r="C161" s="1">
        <v>4317</v>
      </c>
      <c r="D161" s="1">
        <v>4367</v>
      </c>
      <c r="E161" s="1">
        <v>4362</v>
      </c>
      <c r="F161" s="1">
        <v>4351</v>
      </c>
      <c r="G161" s="1">
        <v>4315</v>
      </c>
      <c r="H161" s="1">
        <v>4327</v>
      </c>
      <c r="I161" s="1">
        <v>4365</v>
      </c>
      <c r="J161" s="1">
        <v>4363</v>
      </c>
      <c r="K161" s="1">
        <v>4360</v>
      </c>
      <c r="L161" s="1">
        <v>4306</v>
      </c>
      <c r="M161" s="1">
        <v>4264</v>
      </c>
      <c r="N161" s="1">
        <v>4240</v>
      </c>
      <c r="O161" s="1">
        <v>4180</v>
      </c>
      <c r="P161" t="s">
        <v>363</v>
      </c>
      <c r="Q161" t="s">
        <v>403</v>
      </c>
      <c r="R161" s="1" t="s">
        <v>228</v>
      </c>
      <c r="S161" s="1">
        <f>IFERROR(AVERAGE(Urban[[#This Row],[‫دیسمبر‬‏]]:Urban[[#This Row],[‫اكتوبر‬‏]]),"")</f>
        <v>4360</v>
      </c>
      <c r="T161" s="1">
        <f>IFERROR(AVERAGE(Urban[[#This Row],[‫سبتمبر‬‏]]:Urban[[#This Row],[‫یولیو‬‏]]),"")</f>
        <v>4335.666666666667</v>
      </c>
      <c r="U161" s="1">
        <f>IFERROR(AVERAGE(Urban[[#This Row],[‫یونیو‬‏]]:Urban[[#This Row],[‫ابریل‬‏]]),"")</f>
        <v>4343</v>
      </c>
      <c r="V161" s="1">
        <f>IFERROR(AVERAGE(Urban[[#This Row],[‫مارس‬‏]]:Urban[[#This Row],[‫ینایر‬‏]]),"")</f>
        <v>4228</v>
      </c>
    </row>
    <row r="162" spans="1:22" x14ac:dyDescent="0.35">
      <c r="A162" s="1">
        <v>145</v>
      </c>
      <c r="B162" s="1">
        <v>223</v>
      </c>
      <c r="C162" s="1">
        <v>256</v>
      </c>
      <c r="D162" s="1">
        <v>275</v>
      </c>
      <c r="E162" s="1">
        <v>267</v>
      </c>
      <c r="F162" s="1">
        <v>264</v>
      </c>
      <c r="G162" s="1">
        <v>260</v>
      </c>
      <c r="H162" s="1">
        <v>253</v>
      </c>
      <c r="I162" s="1">
        <v>252</v>
      </c>
      <c r="J162" s="1">
        <v>252</v>
      </c>
      <c r="K162" s="1">
        <v>251</v>
      </c>
      <c r="L162" s="1">
        <v>251</v>
      </c>
      <c r="M162" s="1">
        <v>248</v>
      </c>
      <c r="N162" s="1">
        <v>248</v>
      </c>
      <c r="O162" s="1">
        <v>247</v>
      </c>
      <c r="P162" t="s">
        <v>366</v>
      </c>
      <c r="Q162" t="s">
        <v>404</v>
      </c>
      <c r="R162" s="1" t="s">
        <v>228</v>
      </c>
      <c r="S162" s="1">
        <f>IFERROR(AVERAGE(Urban[[#This Row],[‫دیسمبر‬‏]]:Urban[[#This Row],[‫اكتوبر‬‏]]),"")</f>
        <v>268.66666666666669</v>
      </c>
      <c r="T162" s="1">
        <f>IFERROR(AVERAGE(Urban[[#This Row],[‫سبتمبر‬‏]]:Urban[[#This Row],[‫یولیو‬‏]]),"")</f>
        <v>255</v>
      </c>
      <c r="U162" s="1">
        <f>IFERROR(AVERAGE(Urban[[#This Row],[‫یونیو‬‏]]:Urban[[#This Row],[‫ابریل‬‏]]),"")</f>
        <v>251.33333333333334</v>
      </c>
      <c r="V162" s="1">
        <f>IFERROR(AVERAGE(Urban[[#This Row],[‫مارس‬‏]]:Urban[[#This Row],[‫ینایر‬‏]]),"")</f>
        <v>247.66666666666666</v>
      </c>
    </row>
    <row r="163" spans="1:22" x14ac:dyDescent="0.35">
      <c r="A163" s="1">
        <v>292</v>
      </c>
      <c r="B163" s="1">
        <v>273</v>
      </c>
      <c r="C163" s="1">
        <v>352</v>
      </c>
      <c r="D163" s="1">
        <v>373</v>
      </c>
      <c r="E163" s="1">
        <v>376</v>
      </c>
      <c r="F163" s="1">
        <v>380</v>
      </c>
      <c r="G163" s="1">
        <v>371</v>
      </c>
      <c r="H163" s="1">
        <v>366</v>
      </c>
      <c r="I163" s="1">
        <v>359</v>
      </c>
      <c r="J163" s="1">
        <v>359</v>
      </c>
      <c r="K163" s="1">
        <v>358</v>
      </c>
      <c r="L163" s="1">
        <v>338</v>
      </c>
      <c r="M163" s="1">
        <v>321</v>
      </c>
      <c r="N163" s="1">
        <v>318</v>
      </c>
      <c r="O163" s="1">
        <v>307</v>
      </c>
      <c r="P163" t="s">
        <v>405</v>
      </c>
      <c r="Q163" t="s">
        <v>406</v>
      </c>
      <c r="R163" s="1" t="s">
        <v>228</v>
      </c>
      <c r="S163" s="1">
        <f>IFERROR(AVERAGE(Urban[[#This Row],[‫دیسمبر‬‏]]:Urban[[#This Row],[‫اكتوبر‬‏]]),"")</f>
        <v>376.33333333333331</v>
      </c>
      <c r="T163" s="1">
        <f>IFERROR(AVERAGE(Urban[[#This Row],[‫سبتمبر‬‏]]:Urban[[#This Row],[‫یولیو‬‏]]),"")</f>
        <v>365.33333333333331</v>
      </c>
      <c r="U163" s="1">
        <f>IFERROR(AVERAGE(Urban[[#This Row],[‫یونیو‬‏]]:Urban[[#This Row],[‫ابریل‬‏]]),"")</f>
        <v>351.66666666666669</v>
      </c>
      <c r="V163" s="1">
        <f>IFERROR(AVERAGE(Urban[[#This Row],[‫مارس‬‏]]:Urban[[#This Row],[‫ینایر‬‏]]),"")</f>
        <v>315.33333333333331</v>
      </c>
    </row>
    <row r="164" spans="1:22" x14ac:dyDescent="0.35">
      <c r="A164" s="1">
        <v>162</v>
      </c>
      <c r="B164" s="1">
        <v>983</v>
      </c>
      <c r="C164" s="1">
        <v>1143</v>
      </c>
      <c r="D164" s="1">
        <v>1195</v>
      </c>
      <c r="E164" s="1">
        <v>1196</v>
      </c>
      <c r="F164" s="1">
        <v>1216</v>
      </c>
      <c r="G164" s="1">
        <v>1192</v>
      </c>
      <c r="H164" s="1">
        <v>1172</v>
      </c>
      <c r="I164" s="1">
        <v>1160</v>
      </c>
      <c r="J164" s="1">
        <v>1170</v>
      </c>
      <c r="K164" s="1">
        <v>1169</v>
      </c>
      <c r="L164" s="1">
        <v>1100</v>
      </c>
      <c r="M164" s="1">
        <v>1059</v>
      </c>
      <c r="N164" s="1">
        <v>1053</v>
      </c>
      <c r="O164" s="1">
        <v>1029</v>
      </c>
      <c r="P164" t="s">
        <v>407</v>
      </c>
      <c r="Q164" t="s">
        <v>408</v>
      </c>
      <c r="R164" s="1" t="s">
        <v>228</v>
      </c>
      <c r="S164" s="1">
        <f>IFERROR(AVERAGE(Urban[[#This Row],[‫دیسمبر‬‏]]:Urban[[#This Row],[‫اكتوبر‬‏]]),"")</f>
        <v>1202.3333333333333</v>
      </c>
      <c r="T164" s="1">
        <f>IFERROR(AVERAGE(Urban[[#This Row],[‫سبتمبر‬‏]]:Urban[[#This Row],[‫یولیو‬‏]]),"")</f>
        <v>1174.6666666666667</v>
      </c>
      <c r="U164" s="1">
        <f>IFERROR(AVERAGE(Urban[[#This Row],[‫یونیو‬‏]]:Urban[[#This Row],[‫ابریل‬‏]]),"")</f>
        <v>1146.3333333333333</v>
      </c>
      <c r="V164" s="1">
        <f>IFERROR(AVERAGE(Urban[[#This Row],[‫مارس‬‏]]:Urban[[#This Row],[‫ینایر‬‏]]),"")</f>
        <v>1047</v>
      </c>
    </row>
    <row r="165" spans="1:22" x14ac:dyDescent="0.35">
      <c r="A165" s="1">
        <v>91</v>
      </c>
      <c r="B165" s="1">
        <v>1536</v>
      </c>
      <c r="C165" s="1">
        <v>1677</v>
      </c>
      <c r="D165" s="1">
        <v>1751</v>
      </c>
      <c r="E165" s="1">
        <v>1727</v>
      </c>
      <c r="F165" s="1">
        <v>1714</v>
      </c>
      <c r="G165" s="1">
        <v>1693</v>
      </c>
      <c r="H165" s="1">
        <v>1701</v>
      </c>
      <c r="I165" s="1">
        <v>1694</v>
      </c>
      <c r="J165" s="1">
        <v>1693</v>
      </c>
      <c r="K165" s="1">
        <v>1682</v>
      </c>
      <c r="L165" s="1">
        <v>1653</v>
      </c>
      <c r="M165" s="1">
        <v>1627</v>
      </c>
      <c r="N165" s="1">
        <v>1605</v>
      </c>
      <c r="O165" s="1">
        <v>1582</v>
      </c>
      <c r="P165" t="s">
        <v>409</v>
      </c>
      <c r="Q165" t="s">
        <v>410</v>
      </c>
      <c r="R165" s="1" t="s">
        <v>228</v>
      </c>
      <c r="S165" s="1">
        <f>IFERROR(AVERAGE(Urban[[#This Row],[‫دیسمبر‬‏]]:Urban[[#This Row],[‫اكتوبر‬‏]]),"")</f>
        <v>1730.6666666666667</v>
      </c>
      <c r="T165" s="1">
        <f>IFERROR(AVERAGE(Urban[[#This Row],[‫سبتمبر‬‏]]:Urban[[#This Row],[‫یولیو‬‏]]),"")</f>
        <v>1696</v>
      </c>
      <c r="U165" s="1">
        <f>IFERROR(AVERAGE(Urban[[#This Row],[‫یونیو‬‏]]:Urban[[#This Row],[‫ابریل‬‏]]),"")</f>
        <v>1676</v>
      </c>
      <c r="V165" s="1">
        <f>IFERROR(AVERAGE(Urban[[#This Row],[‫مارس‬‏]]:Urban[[#This Row],[‫ینایر‬‏]]),"")</f>
        <v>1604.6666666666667</v>
      </c>
    </row>
    <row r="166" spans="1:22" x14ac:dyDescent="0.35">
      <c r="A166" s="1">
        <v>146</v>
      </c>
      <c r="B166" s="1">
        <v>2531</v>
      </c>
      <c r="C166" s="1">
        <v>2900</v>
      </c>
      <c r="D166" s="1">
        <v>3026</v>
      </c>
      <c r="E166" s="1">
        <v>2981</v>
      </c>
      <c r="F166" s="1">
        <v>2983</v>
      </c>
      <c r="G166" s="1">
        <v>2929</v>
      </c>
      <c r="H166" s="1">
        <v>2920</v>
      </c>
      <c r="I166" s="1">
        <v>2982</v>
      </c>
      <c r="J166" s="1">
        <v>2912</v>
      </c>
      <c r="K166" s="1">
        <v>2870</v>
      </c>
      <c r="L166" s="1">
        <v>2841</v>
      </c>
      <c r="M166" s="1">
        <v>2815</v>
      </c>
      <c r="N166" s="1">
        <v>2797</v>
      </c>
      <c r="O166" s="1">
        <v>2745</v>
      </c>
      <c r="P166" t="s">
        <v>409</v>
      </c>
      <c r="Q166" t="s">
        <v>411</v>
      </c>
      <c r="R166" s="1" t="s">
        <v>228</v>
      </c>
      <c r="S166" s="1">
        <f>IFERROR(AVERAGE(Urban[[#This Row],[‫دیسمبر‬‏]]:Urban[[#This Row],[‫اكتوبر‬‏]]),"")</f>
        <v>2996.6666666666665</v>
      </c>
      <c r="T166" s="1">
        <f>IFERROR(AVERAGE(Urban[[#This Row],[‫سبتمبر‬‏]]:Urban[[#This Row],[‫یولیو‬‏]]),"")</f>
        <v>2943.6666666666665</v>
      </c>
      <c r="U166" s="1">
        <f>IFERROR(AVERAGE(Urban[[#This Row],[‫یونیو‬‏]]:Urban[[#This Row],[‫ابریل‬‏]]),"")</f>
        <v>2874.3333333333335</v>
      </c>
      <c r="V166" s="1">
        <f>IFERROR(AVERAGE(Urban[[#This Row],[‫مارس‬‏]]:Urban[[#This Row],[‫ینایر‬‏]]),"")</f>
        <v>2785.6666666666665</v>
      </c>
    </row>
    <row r="167" spans="1:22" x14ac:dyDescent="0.35">
      <c r="A167" s="1">
        <v>250</v>
      </c>
      <c r="B167" s="1">
        <v>2555</v>
      </c>
      <c r="C167" s="1">
        <v>3194</v>
      </c>
      <c r="D167" s="1">
        <v>3301</v>
      </c>
      <c r="E167" s="1">
        <v>3332</v>
      </c>
      <c r="F167" s="1">
        <v>3338</v>
      </c>
      <c r="G167" s="1">
        <v>3297</v>
      </c>
      <c r="H167" s="1">
        <v>3295</v>
      </c>
      <c r="I167" s="1">
        <v>3288</v>
      </c>
      <c r="J167" s="1">
        <v>3224</v>
      </c>
      <c r="K167" s="1">
        <v>3171</v>
      </c>
      <c r="L167" s="1">
        <v>3130</v>
      </c>
      <c r="M167" s="1">
        <v>3020</v>
      </c>
      <c r="N167" s="1">
        <v>2993</v>
      </c>
      <c r="O167" s="1">
        <v>2934</v>
      </c>
      <c r="P167" t="s">
        <v>412</v>
      </c>
      <c r="Q167" t="s">
        <v>413</v>
      </c>
      <c r="R167" s="1" t="s">
        <v>228</v>
      </c>
      <c r="S167" s="1">
        <f>IFERROR(AVERAGE(Urban[[#This Row],[‫دیسمبر‬‏]]:Urban[[#This Row],[‫اكتوبر‬‏]]),"")</f>
        <v>3323.6666666666665</v>
      </c>
      <c r="T167" s="1">
        <f>IFERROR(AVERAGE(Urban[[#This Row],[‫سبتمبر‬‏]]:Urban[[#This Row],[‫یولیو‬‏]]),"")</f>
        <v>3293.3333333333335</v>
      </c>
      <c r="U167" s="1">
        <f>IFERROR(AVERAGE(Urban[[#This Row],[‫یونیو‬‏]]:Urban[[#This Row],[‫ابریل‬‏]]),"")</f>
        <v>3175</v>
      </c>
      <c r="V167" s="1">
        <f>IFERROR(AVERAGE(Urban[[#This Row],[‫مارس‬‏]]:Urban[[#This Row],[‫ینایر‬‏]]),"")</f>
        <v>2982.3333333333335</v>
      </c>
    </row>
    <row r="168" spans="1:22" x14ac:dyDescent="0.35">
      <c r="A168" s="1">
        <v>178</v>
      </c>
      <c r="B168" s="1">
        <v>1642</v>
      </c>
      <c r="C168" s="1">
        <v>1935</v>
      </c>
      <c r="D168" s="1">
        <v>2004</v>
      </c>
      <c r="E168" s="1">
        <v>1997</v>
      </c>
      <c r="F168" s="1">
        <v>1990</v>
      </c>
      <c r="G168" s="1">
        <v>1983</v>
      </c>
      <c r="H168" s="1">
        <v>1983</v>
      </c>
      <c r="I168" s="1">
        <v>1980</v>
      </c>
      <c r="J168" s="1">
        <v>1961</v>
      </c>
      <c r="K168" s="1">
        <v>1948</v>
      </c>
      <c r="L168" s="1">
        <v>1900</v>
      </c>
      <c r="M168" s="1">
        <v>1857</v>
      </c>
      <c r="N168" s="1">
        <v>1831</v>
      </c>
      <c r="O168" s="1">
        <v>1784</v>
      </c>
      <c r="P168" t="s">
        <v>409</v>
      </c>
      <c r="Q168" t="s">
        <v>414</v>
      </c>
      <c r="R168" s="1" t="s">
        <v>228</v>
      </c>
      <c r="S168" s="1">
        <f>IFERROR(AVERAGE(Urban[[#This Row],[‫دیسمبر‬‏]]:Urban[[#This Row],[‫اكتوبر‬‏]]),"")</f>
        <v>1997</v>
      </c>
      <c r="T168" s="1">
        <f>IFERROR(AVERAGE(Urban[[#This Row],[‫سبتمبر‬‏]]:Urban[[#This Row],[‫یولیو‬‏]]),"")</f>
        <v>1982</v>
      </c>
      <c r="U168" s="1">
        <f>IFERROR(AVERAGE(Urban[[#This Row],[‫یونیو‬‏]]:Urban[[#This Row],[‫ابریل‬‏]]),"")</f>
        <v>1936.3333333333333</v>
      </c>
      <c r="V168" s="1">
        <f>IFERROR(AVERAGE(Urban[[#This Row],[‫مارس‬‏]]:Urban[[#This Row],[‫ینایر‬‏]]),"")</f>
        <v>1824</v>
      </c>
    </row>
    <row r="169" spans="1:22" x14ac:dyDescent="0.35">
      <c r="A169" s="1">
        <v>103</v>
      </c>
      <c r="B169" s="1">
        <v>3964</v>
      </c>
      <c r="C169" s="1">
        <v>4372</v>
      </c>
      <c r="D169" s="1">
        <v>4511</v>
      </c>
      <c r="E169" s="1">
        <v>4464</v>
      </c>
      <c r="F169" s="1">
        <v>4465</v>
      </c>
      <c r="G169" s="1">
        <v>4434</v>
      </c>
      <c r="H169" s="1">
        <v>4411</v>
      </c>
      <c r="I169" s="1">
        <v>4389</v>
      </c>
      <c r="J169" s="1">
        <v>4340</v>
      </c>
      <c r="K169" s="1">
        <v>4322</v>
      </c>
      <c r="L169" s="1">
        <v>4293</v>
      </c>
      <c r="M169" s="1">
        <v>4277</v>
      </c>
      <c r="N169" s="1">
        <v>4280</v>
      </c>
      <c r="O169" s="1">
        <v>4272</v>
      </c>
      <c r="P169" t="s">
        <v>387</v>
      </c>
      <c r="Q169" t="s">
        <v>415</v>
      </c>
      <c r="R169" s="1" t="s">
        <v>228</v>
      </c>
      <c r="S169" s="1">
        <f>IFERROR(AVERAGE(Urban[[#This Row],[‫دیسمبر‬‏]]:Urban[[#This Row],[‫اكتوبر‬‏]]),"")</f>
        <v>4480</v>
      </c>
      <c r="T169" s="1">
        <f>IFERROR(AVERAGE(Urban[[#This Row],[‫سبتمبر‬‏]]:Urban[[#This Row],[‫یولیو‬‏]]),"")</f>
        <v>4411.333333333333</v>
      </c>
      <c r="U169" s="1">
        <f>IFERROR(AVERAGE(Urban[[#This Row],[‫یونیو‬‏]]:Urban[[#This Row],[‫ابریل‬‏]]),"")</f>
        <v>4318.333333333333</v>
      </c>
      <c r="V169" s="1">
        <f>IFERROR(AVERAGE(Urban[[#This Row],[‫مارس‬‏]]:Urban[[#This Row],[‫ینایر‬‏]]),"")</f>
        <v>4276.333333333333</v>
      </c>
    </row>
    <row r="170" spans="1:22" x14ac:dyDescent="0.35">
      <c r="A170" s="1">
        <v>164</v>
      </c>
      <c r="B170" s="1">
        <v>1756</v>
      </c>
      <c r="C170" s="1">
        <v>2045</v>
      </c>
      <c r="D170" s="1">
        <v>2168</v>
      </c>
      <c r="E170" s="1">
        <v>2100</v>
      </c>
      <c r="F170" s="1">
        <v>2107</v>
      </c>
      <c r="G170" s="1">
        <v>2073</v>
      </c>
      <c r="H170" s="1">
        <v>2061</v>
      </c>
      <c r="I170" s="1">
        <v>2062</v>
      </c>
      <c r="J170" s="1">
        <v>2054</v>
      </c>
      <c r="K170" s="1">
        <v>2019</v>
      </c>
      <c r="L170" s="1">
        <v>1984</v>
      </c>
      <c r="M170" s="1">
        <v>1964</v>
      </c>
      <c r="N170" s="1">
        <v>1964</v>
      </c>
      <c r="O170" s="1">
        <v>1979</v>
      </c>
      <c r="P170" t="s">
        <v>363</v>
      </c>
      <c r="Q170" t="s">
        <v>416</v>
      </c>
      <c r="R170" s="1" t="s">
        <v>228</v>
      </c>
      <c r="S170" s="1">
        <f>IFERROR(AVERAGE(Urban[[#This Row],[‫دیسمبر‬‏]]:Urban[[#This Row],[‫اكتوبر‬‏]]),"")</f>
        <v>2125</v>
      </c>
      <c r="T170" s="1">
        <f>IFERROR(AVERAGE(Urban[[#This Row],[‫سبتمبر‬‏]]:Urban[[#This Row],[‫یولیو‬‏]]),"")</f>
        <v>2065.3333333333335</v>
      </c>
      <c r="U170" s="1">
        <f>IFERROR(AVERAGE(Urban[[#This Row],[‫یونیو‬‏]]:Urban[[#This Row],[‫ابریل‬‏]]),"")</f>
        <v>2019</v>
      </c>
      <c r="V170" s="1">
        <f>IFERROR(AVERAGE(Urban[[#This Row],[‫مارس‬‏]]:Urban[[#This Row],[‫ینایر‬‏]]),"")</f>
        <v>1969</v>
      </c>
    </row>
    <row r="171" spans="1:22" x14ac:dyDescent="0.35">
      <c r="A171" s="1">
        <v>167</v>
      </c>
      <c r="B171" s="1">
        <v>5543</v>
      </c>
      <c r="C171" s="1">
        <v>6468</v>
      </c>
      <c r="D171" s="1">
        <v>6914</v>
      </c>
      <c r="E171" s="1">
        <v>6592</v>
      </c>
      <c r="F171" s="1">
        <v>6559</v>
      </c>
      <c r="G171" s="1">
        <v>6519</v>
      </c>
      <c r="H171" s="1">
        <v>6497</v>
      </c>
      <c r="I171" s="1">
        <v>6494</v>
      </c>
      <c r="J171" s="1">
        <v>6466</v>
      </c>
      <c r="K171" s="1">
        <v>6417</v>
      </c>
      <c r="L171" s="1">
        <v>6376</v>
      </c>
      <c r="M171" s="1">
        <v>6317</v>
      </c>
      <c r="N171" s="1">
        <v>6311</v>
      </c>
      <c r="O171" s="1">
        <v>6158</v>
      </c>
      <c r="P171" t="s">
        <v>417</v>
      </c>
      <c r="Q171" t="s">
        <v>418</v>
      </c>
      <c r="R171" s="1" t="s">
        <v>228</v>
      </c>
      <c r="S171" s="1">
        <f>IFERROR(AVERAGE(Urban[[#This Row],[‫دیسمبر‬‏]]:Urban[[#This Row],[‫اكتوبر‬‏]]),"")</f>
        <v>6688.333333333333</v>
      </c>
      <c r="T171" s="1">
        <f>IFERROR(AVERAGE(Urban[[#This Row],[‫سبتمبر‬‏]]:Urban[[#This Row],[‫یولیو‬‏]]),"")</f>
        <v>6503.333333333333</v>
      </c>
      <c r="U171" s="1">
        <f>IFERROR(AVERAGE(Urban[[#This Row],[‫یونیو‬‏]]:Urban[[#This Row],[‫ابریل‬‏]]),"")</f>
        <v>6419.666666666667</v>
      </c>
      <c r="V171" s="1">
        <f>IFERROR(AVERAGE(Urban[[#This Row],[‫مارس‬‏]]:Urban[[#This Row],[‫ینایر‬‏]]),"")</f>
        <v>6262</v>
      </c>
    </row>
    <row r="172" spans="1:22" x14ac:dyDescent="0.35">
      <c r="A172" s="1">
        <v>154</v>
      </c>
      <c r="B172" s="1">
        <v>4172</v>
      </c>
      <c r="C172" s="1">
        <v>4815</v>
      </c>
      <c r="D172" s="1">
        <v>4958</v>
      </c>
      <c r="E172" s="1">
        <v>4835</v>
      </c>
      <c r="F172" s="1">
        <v>4843</v>
      </c>
      <c r="G172" s="1">
        <v>4844</v>
      </c>
      <c r="H172" s="1">
        <v>4839</v>
      </c>
      <c r="I172" s="1">
        <v>4900</v>
      </c>
      <c r="J172" s="1">
        <v>4867</v>
      </c>
      <c r="K172" s="1">
        <v>4836</v>
      </c>
      <c r="L172" s="1">
        <v>4779</v>
      </c>
      <c r="M172" s="1">
        <v>4742</v>
      </c>
      <c r="N172" s="1">
        <v>4701</v>
      </c>
      <c r="O172" s="1">
        <v>4630</v>
      </c>
      <c r="P172" t="s">
        <v>417</v>
      </c>
      <c r="Q172" t="s">
        <v>419</v>
      </c>
      <c r="R172" s="1" t="s">
        <v>228</v>
      </c>
      <c r="S172" s="1">
        <f>IFERROR(AVERAGE(Urban[[#This Row],[‫دیسمبر‬‏]]:Urban[[#This Row],[‫اكتوبر‬‏]]),"")</f>
        <v>4878.666666666667</v>
      </c>
      <c r="T172" s="1">
        <f>IFERROR(AVERAGE(Urban[[#This Row],[‫سبتمبر‬‏]]:Urban[[#This Row],[‫یولیو‬‏]]),"")</f>
        <v>4861</v>
      </c>
      <c r="U172" s="1">
        <f>IFERROR(AVERAGE(Urban[[#This Row],[‫یونیو‬‏]]:Urban[[#This Row],[‫ابریل‬‏]]),"")</f>
        <v>4827.333333333333</v>
      </c>
      <c r="V172" s="1">
        <f>IFERROR(AVERAGE(Urban[[#This Row],[‫مارس‬‏]]:Urban[[#This Row],[‫ینایر‬‏]]),"")</f>
        <v>4691</v>
      </c>
    </row>
    <row r="173" spans="1:22" x14ac:dyDescent="0.35">
      <c r="A173" s="1">
        <v>99</v>
      </c>
      <c r="B173" s="1">
        <v>1662</v>
      </c>
      <c r="C173" s="1">
        <v>1826</v>
      </c>
      <c r="D173" s="1">
        <v>1884</v>
      </c>
      <c r="E173" s="1">
        <v>1881</v>
      </c>
      <c r="F173" s="1">
        <v>1862</v>
      </c>
      <c r="G173" s="1">
        <v>1846</v>
      </c>
      <c r="H173" s="1">
        <v>1841</v>
      </c>
      <c r="I173" s="1">
        <v>1831</v>
      </c>
      <c r="J173" s="1">
        <v>1819</v>
      </c>
      <c r="K173" s="1">
        <v>1806</v>
      </c>
      <c r="L173" s="1">
        <v>1791</v>
      </c>
      <c r="M173" s="1">
        <v>1780</v>
      </c>
      <c r="N173" s="1">
        <v>1787</v>
      </c>
      <c r="O173" s="1">
        <v>1780</v>
      </c>
      <c r="P173" t="s">
        <v>420</v>
      </c>
      <c r="Q173" t="s">
        <v>421</v>
      </c>
      <c r="R173" s="1" t="s">
        <v>228</v>
      </c>
      <c r="S173" s="1">
        <f>IFERROR(AVERAGE(Urban[[#This Row],[‫دیسمبر‬‏]]:Urban[[#This Row],[‫اكتوبر‬‏]]),"")</f>
        <v>1875.6666666666667</v>
      </c>
      <c r="T173" s="1">
        <f>IFERROR(AVERAGE(Urban[[#This Row],[‫سبتمبر‬‏]]:Urban[[#This Row],[‫یولیو‬‏]]),"")</f>
        <v>1839.3333333333333</v>
      </c>
      <c r="U173" s="1">
        <f>IFERROR(AVERAGE(Urban[[#This Row],[‫یونیو‬‏]]:Urban[[#This Row],[‫ابریل‬‏]]),"")</f>
        <v>1805.3333333333333</v>
      </c>
      <c r="V173" s="1">
        <f>IFERROR(AVERAGE(Urban[[#This Row],[‫مارس‬‏]]:Urban[[#This Row],[‫ینایر‬‏]]),"")</f>
        <v>1782.3333333333333</v>
      </c>
    </row>
    <row r="174" spans="1:22" x14ac:dyDescent="0.35">
      <c r="A174" s="1">
        <v>118</v>
      </c>
      <c r="B174" s="1">
        <v>4857</v>
      </c>
      <c r="C174" s="1">
        <v>5429</v>
      </c>
      <c r="D174" s="1">
        <v>5593</v>
      </c>
      <c r="E174" s="1">
        <v>5665</v>
      </c>
      <c r="F174" s="1">
        <v>5663</v>
      </c>
      <c r="G174" s="1">
        <v>5560</v>
      </c>
      <c r="H174" s="1">
        <v>5542</v>
      </c>
      <c r="I174" s="1">
        <v>5508</v>
      </c>
      <c r="J174" s="1">
        <v>5489</v>
      </c>
      <c r="K174" s="1">
        <v>5418</v>
      </c>
      <c r="L174" s="1">
        <v>5246</v>
      </c>
      <c r="M174" s="1">
        <v>5195</v>
      </c>
      <c r="N174" s="1">
        <v>5209</v>
      </c>
      <c r="O174" s="1">
        <v>5059</v>
      </c>
      <c r="P174" t="s">
        <v>420</v>
      </c>
      <c r="Q174" t="s">
        <v>422</v>
      </c>
      <c r="R174" s="1" t="s">
        <v>228</v>
      </c>
      <c r="S174" s="1">
        <f>IFERROR(AVERAGE(Urban[[#This Row],[‫دیسمبر‬‏]]:Urban[[#This Row],[‫اكتوبر‬‏]]),"")</f>
        <v>5640.333333333333</v>
      </c>
      <c r="T174" s="1">
        <f>IFERROR(AVERAGE(Urban[[#This Row],[‫سبتمبر‬‏]]:Urban[[#This Row],[‫یولیو‬‏]]),"")</f>
        <v>5536.666666666667</v>
      </c>
      <c r="U174" s="1">
        <f>IFERROR(AVERAGE(Urban[[#This Row],[‫یونیو‬‏]]:Urban[[#This Row],[‫ابریل‬‏]]),"")</f>
        <v>5384.333333333333</v>
      </c>
      <c r="V174" s="1">
        <f>IFERROR(AVERAGE(Urban[[#This Row],[‫مارس‬‏]]:Urban[[#This Row],[‫ینایر‬‏]]),"")</f>
        <v>5154.333333333333</v>
      </c>
    </row>
    <row r="175" spans="1:22" x14ac:dyDescent="0.35">
      <c r="A175" s="1">
        <v>94</v>
      </c>
      <c r="B175" s="1">
        <v>139</v>
      </c>
      <c r="C175" s="1">
        <v>152</v>
      </c>
      <c r="D175" s="1">
        <v>162</v>
      </c>
      <c r="E175" s="1">
        <v>161</v>
      </c>
      <c r="F175" s="1">
        <v>158</v>
      </c>
      <c r="G175" s="1">
        <v>155</v>
      </c>
      <c r="H175" s="1">
        <v>155</v>
      </c>
      <c r="I175" s="1">
        <v>151</v>
      </c>
      <c r="J175" s="1">
        <v>151</v>
      </c>
      <c r="K175" s="1">
        <v>150</v>
      </c>
      <c r="L175" s="1">
        <v>146</v>
      </c>
      <c r="M175" s="1">
        <v>145</v>
      </c>
      <c r="N175" s="1">
        <v>145</v>
      </c>
      <c r="O175" s="1">
        <v>144</v>
      </c>
      <c r="P175" t="s">
        <v>423</v>
      </c>
      <c r="Q175" t="s">
        <v>424</v>
      </c>
      <c r="R175" s="1" t="s">
        <v>228</v>
      </c>
      <c r="S175" s="1">
        <f>IFERROR(AVERAGE(Urban[[#This Row],[‫دیسمبر‬‏]]:Urban[[#This Row],[‫اكتوبر‬‏]]),"")</f>
        <v>160.33333333333334</v>
      </c>
      <c r="T175" s="1">
        <f>IFERROR(AVERAGE(Urban[[#This Row],[‫سبتمبر‬‏]]:Urban[[#This Row],[‫یولیو‬‏]]),"")</f>
        <v>153.66666666666666</v>
      </c>
      <c r="U175" s="1">
        <f>IFERROR(AVERAGE(Urban[[#This Row],[‫یونیو‬‏]]:Urban[[#This Row],[‫ابریل‬‏]]),"")</f>
        <v>149</v>
      </c>
      <c r="V175" s="1">
        <f>IFERROR(AVERAGE(Urban[[#This Row],[‫مارس‬‏]]:Urban[[#This Row],[‫ینایر‬‏]]),"")</f>
        <v>144.66666666666666</v>
      </c>
    </row>
    <row r="176" spans="1:22" x14ac:dyDescent="0.35">
      <c r="A176" s="1">
        <v>162</v>
      </c>
      <c r="B176" s="1">
        <v>319</v>
      </c>
      <c r="C176" s="1">
        <v>371</v>
      </c>
      <c r="D176" s="1">
        <v>391</v>
      </c>
      <c r="E176" s="1">
        <v>391</v>
      </c>
      <c r="F176" s="1">
        <v>387</v>
      </c>
      <c r="G176" s="1">
        <v>380</v>
      </c>
      <c r="H176" s="1">
        <v>377</v>
      </c>
      <c r="I176" s="1">
        <v>367</v>
      </c>
      <c r="J176" s="1">
        <v>369</v>
      </c>
      <c r="K176" s="1">
        <v>368</v>
      </c>
      <c r="L176" s="1">
        <v>358</v>
      </c>
      <c r="M176" s="1">
        <v>355</v>
      </c>
      <c r="N176" s="1">
        <v>352</v>
      </c>
      <c r="O176" s="1">
        <v>351</v>
      </c>
      <c r="P176" t="s">
        <v>425</v>
      </c>
      <c r="Q176" t="s">
        <v>426</v>
      </c>
      <c r="R176" s="1" t="s">
        <v>228</v>
      </c>
      <c r="S176" s="1">
        <f>IFERROR(AVERAGE(Urban[[#This Row],[‫دیسمبر‬‏]]:Urban[[#This Row],[‫اكتوبر‬‏]]),"")</f>
        <v>389.66666666666669</v>
      </c>
      <c r="T176" s="1">
        <f>IFERROR(AVERAGE(Urban[[#This Row],[‫سبتمبر‬‏]]:Urban[[#This Row],[‫یولیو‬‏]]),"")</f>
        <v>374.66666666666669</v>
      </c>
      <c r="U176" s="1">
        <f>IFERROR(AVERAGE(Urban[[#This Row],[‫یونیو‬‏]]:Urban[[#This Row],[‫ابریل‬‏]]),"")</f>
        <v>365</v>
      </c>
      <c r="V176" s="1">
        <f>IFERROR(AVERAGE(Urban[[#This Row],[‫مارس‬‏]]:Urban[[#This Row],[‫ینایر‬‏]]),"")</f>
        <v>352.66666666666669</v>
      </c>
    </row>
    <row r="177" spans="1:22" x14ac:dyDescent="0.35">
      <c r="A177" s="1">
        <v>178</v>
      </c>
      <c r="B177" s="1">
        <v>328</v>
      </c>
      <c r="C177" s="1">
        <v>386</v>
      </c>
      <c r="D177" s="1">
        <v>398</v>
      </c>
      <c r="E177" s="1">
        <v>400</v>
      </c>
      <c r="F177" s="1">
        <v>398</v>
      </c>
      <c r="G177" s="1">
        <v>393</v>
      </c>
      <c r="H177" s="1">
        <v>393</v>
      </c>
      <c r="I177" s="1">
        <v>389</v>
      </c>
      <c r="J177" s="1">
        <v>386</v>
      </c>
      <c r="K177" s="1">
        <v>385</v>
      </c>
      <c r="L177" s="1">
        <v>381</v>
      </c>
      <c r="M177" s="1">
        <v>375</v>
      </c>
      <c r="N177" s="1">
        <v>371</v>
      </c>
      <c r="O177" s="1">
        <v>364</v>
      </c>
      <c r="P177" t="s">
        <v>427</v>
      </c>
      <c r="Q177" t="s">
        <v>428</v>
      </c>
      <c r="R177" s="1" t="s">
        <v>228</v>
      </c>
      <c r="S177" s="1">
        <f>IFERROR(AVERAGE(Urban[[#This Row],[‫دیسمبر‬‏]]:Urban[[#This Row],[‫اكتوبر‬‏]]),"")</f>
        <v>398.66666666666669</v>
      </c>
      <c r="T177" s="1">
        <f>IFERROR(AVERAGE(Urban[[#This Row],[‫سبتمبر‬‏]]:Urban[[#This Row],[‫یولیو‬‏]]),"")</f>
        <v>391.66666666666669</v>
      </c>
      <c r="U177" s="1">
        <f>IFERROR(AVERAGE(Urban[[#This Row],[‫یونیو‬‏]]:Urban[[#This Row],[‫ابریل‬‏]]),"")</f>
        <v>384</v>
      </c>
      <c r="V177" s="1">
        <f>IFERROR(AVERAGE(Urban[[#This Row],[‫مارس‬‏]]:Urban[[#This Row],[‫ینایر‬‏]]),"")</f>
        <v>370</v>
      </c>
    </row>
    <row r="178" spans="1:22" x14ac:dyDescent="0.35">
      <c r="A178" s="1">
        <v>136</v>
      </c>
      <c r="B178" s="1">
        <v>330</v>
      </c>
      <c r="C178" s="1">
        <v>375</v>
      </c>
      <c r="D178" s="1">
        <v>392</v>
      </c>
      <c r="E178" s="1">
        <v>379</v>
      </c>
      <c r="F178" s="1">
        <v>377</v>
      </c>
      <c r="G178" s="1">
        <v>375</v>
      </c>
      <c r="H178" s="1">
        <v>375</v>
      </c>
      <c r="I178" s="1">
        <v>378</v>
      </c>
      <c r="J178" s="1">
        <v>377</v>
      </c>
      <c r="K178" s="1">
        <v>376</v>
      </c>
      <c r="L178" s="1">
        <v>373</v>
      </c>
      <c r="M178" s="1">
        <v>369</v>
      </c>
      <c r="N178" s="1">
        <v>367</v>
      </c>
      <c r="O178" s="1">
        <v>358</v>
      </c>
      <c r="P178" t="s">
        <v>429</v>
      </c>
      <c r="Q178" t="s">
        <v>430</v>
      </c>
      <c r="R178" s="1" t="s">
        <v>228</v>
      </c>
      <c r="S178" s="1">
        <f>IFERROR(AVERAGE(Urban[[#This Row],[‫دیسمبر‬‏]]:Urban[[#This Row],[‫اكتوبر‬‏]]),"")</f>
        <v>382.66666666666669</v>
      </c>
      <c r="T178" s="1">
        <f>IFERROR(AVERAGE(Urban[[#This Row],[‫سبتمبر‬‏]]:Urban[[#This Row],[‫یولیو‬‏]]),"")</f>
        <v>376</v>
      </c>
      <c r="U178" s="1">
        <f>IFERROR(AVERAGE(Urban[[#This Row],[‫یونیو‬‏]]:Urban[[#This Row],[‫ابریل‬‏]]),"")</f>
        <v>375.33333333333331</v>
      </c>
      <c r="V178" s="1">
        <f>IFERROR(AVERAGE(Urban[[#This Row],[‫مارس‬‏]]:Urban[[#This Row],[‫ینایر‬‏]]),"")</f>
        <v>364.66666666666669</v>
      </c>
    </row>
    <row r="179" spans="1:22" x14ac:dyDescent="0.35">
      <c r="A179" s="1">
        <v>236</v>
      </c>
      <c r="B179" s="1">
        <v>35039</v>
      </c>
      <c r="C179" s="1">
        <v>43314</v>
      </c>
      <c r="D179" s="1">
        <v>44725</v>
      </c>
      <c r="E179" s="1">
        <v>45279</v>
      </c>
      <c r="F179" s="1">
        <v>45242</v>
      </c>
      <c r="G179" s="1">
        <v>44522</v>
      </c>
      <c r="H179" s="1">
        <v>44493</v>
      </c>
      <c r="I179" s="1">
        <v>44388</v>
      </c>
      <c r="J179" s="1">
        <v>43975</v>
      </c>
      <c r="K179" s="1">
        <v>43296</v>
      </c>
      <c r="L179" s="1">
        <v>42398</v>
      </c>
      <c r="M179" s="1">
        <v>41127</v>
      </c>
      <c r="N179" s="1">
        <v>40533</v>
      </c>
      <c r="O179" s="1">
        <v>39788</v>
      </c>
      <c r="P179" t="s">
        <v>25</v>
      </c>
      <c r="Q179" t="s">
        <v>431</v>
      </c>
      <c r="R179" s="1" t="s">
        <v>228</v>
      </c>
      <c r="S179" s="1">
        <f>IFERROR(AVERAGE(Urban[[#This Row],[‫دیسمبر‬‏]]:Urban[[#This Row],[‫اكتوبر‬‏]]),"")</f>
        <v>45082</v>
      </c>
      <c r="T179" s="1">
        <f>IFERROR(AVERAGE(Urban[[#This Row],[‫سبتمبر‬‏]]:Urban[[#This Row],[‫یولیو‬‏]]),"")</f>
        <v>44467.666666666664</v>
      </c>
      <c r="U179" s="1">
        <f>IFERROR(AVERAGE(Urban[[#This Row],[‫یونیو‬‏]]:Urban[[#This Row],[‫ابریل‬‏]]),"")</f>
        <v>43223</v>
      </c>
      <c r="V179" s="1">
        <f>IFERROR(AVERAGE(Urban[[#This Row],[‫مارس‬‏]]:Urban[[#This Row],[‫ینایر‬‏]]),"")</f>
        <v>40482.666666666664</v>
      </c>
    </row>
    <row r="180" spans="1:22" x14ac:dyDescent="0.35">
      <c r="A180" s="1">
        <v>160</v>
      </c>
      <c r="B180" s="1">
        <v>2057</v>
      </c>
      <c r="C180" s="1">
        <v>2387</v>
      </c>
      <c r="D180" s="1">
        <v>2589</v>
      </c>
      <c r="E180" s="1">
        <v>2494</v>
      </c>
      <c r="F180" s="1">
        <v>2481</v>
      </c>
      <c r="G180" s="1">
        <v>2446</v>
      </c>
      <c r="H180" s="1">
        <v>2433</v>
      </c>
      <c r="I180" s="1">
        <v>2368</v>
      </c>
      <c r="J180" s="1">
        <v>2366</v>
      </c>
      <c r="K180" s="1">
        <v>2334</v>
      </c>
      <c r="L180" s="1">
        <v>2294</v>
      </c>
      <c r="M180" s="1">
        <v>2295</v>
      </c>
      <c r="N180" s="1">
        <v>2272</v>
      </c>
      <c r="O180" s="1">
        <v>2265</v>
      </c>
      <c r="P180" t="s">
        <v>376</v>
      </c>
      <c r="Q180" t="s">
        <v>432</v>
      </c>
      <c r="R180" s="1" t="s">
        <v>228</v>
      </c>
      <c r="S180" s="1">
        <f>IFERROR(AVERAGE(Urban[[#This Row],[‫دیسمبر‬‏]]:Urban[[#This Row],[‫اكتوبر‬‏]]),"")</f>
        <v>2521.3333333333335</v>
      </c>
      <c r="T180" s="1">
        <f>IFERROR(AVERAGE(Urban[[#This Row],[‫سبتمبر‬‏]]:Urban[[#This Row],[‫یولیو‬‏]]),"")</f>
        <v>2415.6666666666665</v>
      </c>
      <c r="U180" s="1">
        <f>IFERROR(AVERAGE(Urban[[#This Row],[‫یونیو‬‏]]:Urban[[#This Row],[‫ابریل‬‏]]),"")</f>
        <v>2331.3333333333335</v>
      </c>
      <c r="V180" s="1">
        <f>IFERROR(AVERAGE(Urban[[#This Row],[‫مارس‬‏]]:Urban[[#This Row],[‫ینایر‬‏]]),"")</f>
        <v>2277.3333333333335</v>
      </c>
    </row>
    <row r="181" spans="1:22" x14ac:dyDescent="0.35">
      <c r="A181" s="1">
        <v>30</v>
      </c>
      <c r="B181" s="1">
        <v>5656</v>
      </c>
      <c r="C181" s="1">
        <v>5824</v>
      </c>
      <c r="D181" s="1">
        <v>5773</v>
      </c>
      <c r="E181" s="1">
        <v>5869</v>
      </c>
      <c r="F181" s="1">
        <v>5892</v>
      </c>
      <c r="G181" s="1">
        <v>5925</v>
      </c>
      <c r="H181" s="1">
        <v>5907</v>
      </c>
      <c r="I181" s="1">
        <v>5900</v>
      </c>
      <c r="J181" s="1">
        <v>5887</v>
      </c>
      <c r="K181" s="1">
        <v>5876</v>
      </c>
      <c r="L181" s="1">
        <v>5871</v>
      </c>
      <c r="M181" s="1">
        <v>5656</v>
      </c>
      <c r="N181" s="1">
        <v>5658</v>
      </c>
      <c r="O181" s="1">
        <v>5670</v>
      </c>
      <c r="P181" t="s">
        <v>25</v>
      </c>
      <c r="Q181" t="s">
        <v>433</v>
      </c>
      <c r="R181" s="1" t="s">
        <v>228</v>
      </c>
      <c r="S181" s="1">
        <f>IFERROR(AVERAGE(Urban[[#This Row],[‫دیسمبر‬‏]]:Urban[[#This Row],[‫اكتوبر‬‏]]),"")</f>
        <v>5844.666666666667</v>
      </c>
      <c r="T181" s="1">
        <f>IFERROR(AVERAGE(Urban[[#This Row],[‫سبتمبر‬‏]]:Urban[[#This Row],[‫یولیو‬‏]]),"")</f>
        <v>5910.666666666667</v>
      </c>
      <c r="U181" s="1">
        <f>IFERROR(AVERAGE(Urban[[#This Row],[‫یونیو‬‏]]:Urban[[#This Row],[‫ابریل‬‏]]),"")</f>
        <v>5878</v>
      </c>
      <c r="V181" s="1">
        <f>IFERROR(AVERAGE(Urban[[#This Row],[‫مارس‬‏]]:Urban[[#This Row],[‫ینایر‬‏]]),"")</f>
        <v>5661.333333333333</v>
      </c>
    </row>
    <row r="182" spans="1:22" x14ac:dyDescent="0.35">
      <c r="A182" s="1">
        <v>-28</v>
      </c>
      <c r="B182" s="1">
        <v>4312</v>
      </c>
      <c r="C182" s="1">
        <v>4190</v>
      </c>
      <c r="D182" s="1">
        <v>3974</v>
      </c>
      <c r="E182" s="1">
        <v>4160</v>
      </c>
      <c r="F182" s="1">
        <v>4240</v>
      </c>
      <c r="G182" s="1">
        <v>4272</v>
      </c>
      <c r="H182" s="1">
        <v>4258</v>
      </c>
      <c r="I182" s="1">
        <v>4229</v>
      </c>
      <c r="J182" s="1">
        <v>4232</v>
      </c>
      <c r="K182" s="1">
        <v>4219</v>
      </c>
      <c r="L182" s="1">
        <v>4245</v>
      </c>
      <c r="M182" s="1">
        <v>4156</v>
      </c>
      <c r="N182" s="1">
        <v>4148</v>
      </c>
      <c r="O182" s="1">
        <v>4147</v>
      </c>
      <c r="P182" t="s">
        <v>25</v>
      </c>
      <c r="Q182" t="s">
        <v>434</v>
      </c>
      <c r="R182" s="1" t="s">
        <v>228</v>
      </c>
      <c r="S182" s="1">
        <f>IFERROR(AVERAGE(Urban[[#This Row],[‫دیسمبر‬‏]]:Urban[[#This Row],[‫اكتوبر‬‏]]),"")</f>
        <v>4124.666666666667</v>
      </c>
      <c r="T182" s="1">
        <f>IFERROR(AVERAGE(Urban[[#This Row],[‫سبتمبر‬‏]]:Urban[[#This Row],[‫یولیو‬‏]]),"")</f>
        <v>4253</v>
      </c>
      <c r="U182" s="1">
        <f>IFERROR(AVERAGE(Urban[[#This Row],[‫یونیو‬‏]]:Urban[[#This Row],[‫ابریل‬‏]]),"")</f>
        <v>4232</v>
      </c>
      <c r="V182" s="1">
        <f>IFERROR(AVERAGE(Urban[[#This Row],[‫مارس‬‏]]:Urban[[#This Row],[‫ینایر‬‏]]),"")</f>
        <v>4150.333333333333</v>
      </c>
    </row>
    <row r="183" spans="1:22" x14ac:dyDescent="0.35">
      <c r="A183" s="1">
        <v>-55</v>
      </c>
      <c r="B183" s="1">
        <v>3774</v>
      </c>
      <c r="C183" s="1">
        <v>3566</v>
      </c>
      <c r="D183" s="1">
        <v>3426</v>
      </c>
      <c r="E183" s="1">
        <v>3512</v>
      </c>
      <c r="F183" s="1">
        <v>3541</v>
      </c>
      <c r="G183" s="1">
        <v>3573</v>
      </c>
      <c r="H183" s="1">
        <v>3587</v>
      </c>
      <c r="I183" s="1">
        <v>3603</v>
      </c>
      <c r="J183" s="1">
        <v>3602</v>
      </c>
      <c r="K183" s="1">
        <v>3603</v>
      </c>
      <c r="L183" s="1">
        <v>3628</v>
      </c>
      <c r="M183" s="1">
        <v>3578</v>
      </c>
      <c r="N183" s="1">
        <v>3569</v>
      </c>
      <c r="O183" s="1">
        <v>3577</v>
      </c>
      <c r="P183" t="s">
        <v>25</v>
      </c>
      <c r="Q183" t="s">
        <v>435</v>
      </c>
      <c r="R183" s="1" t="s">
        <v>228</v>
      </c>
      <c r="S183" s="1">
        <f>IFERROR(AVERAGE(Urban[[#This Row],[‫دیسمبر‬‏]]:Urban[[#This Row],[‫اكتوبر‬‏]]),"")</f>
        <v>3493</v>
      </c>
      <c r="T183" s="1">
        <f>IFERROR(AVERAGE(Urban[[#This Row],[‫سبتمبر‬‏]]:Urban[[#This Row],[‫یولیو‬‏]]),"")</f>
        <v>3587.6666666666665</v>
      </c>
      <c r="U183" s="1">
        <f>IFERROR(AVERAGE(Urban[[#This Row],[‫یونیو‬‏]]:Urban[[#This Row],[‫ابریل‬‏]]),"")</f>
        <v>3611</v>
      </c>
      <c r="V183" s="1">
        <f>IFERROR(AVERAGE(Urban[[#This Row],[‫مارس‬‏]]:Urban[[#This Row],[‫ینایر‬‏]]),"")</f>
        <v>3574.6666666666665</v>
      </c>
    </row>
    <row r="184" spans="1:22" x14ac:dyDescent="0.35">
      <c r="A184" s="1">
        <v>57</v>
      </c>
      <c r="B184" s="1">
        <v>3896</v>
      </c>
      <c r="C184" s="1">
        <v>4118</v>
      </c>
      <c r="D184" s="1">
        <v>4188</v>
      </c>
      <c r="E184" s="1">
        <v>4142</v>
      </c>
      <c r="F184" s="1">
        <v>4140</v>
      </c>
      <c r="G184" s="1">
        <v>4125</v>
      </c>
      <c r="H184" s="1">
        <v>4105</v>
      </c>
      <c r="I184" s="1">
        <v>4098</v>
      </c>
      <c r="J184" s="1">
        <v>4090</v>
      </c>
      <c r="K184" s="1">
        <v>4110</v>
      </c>
      <c r="L184" s="1">
        <v>4114</v>
      </c>
      <c r="M184" s="1">
        <v>4104</v>
      </c>
      <c r="N184" s="1">
        <v>4097</v>
      </c>
      <c r="O184" s="1">
        <v>4110</v>
      </c>
      <c r="P184" t="s">
        <v>436</v>
      </c>
      <c r="Q184" t="s">
        <v>437</v>
      </c>
      <c r="R184" s="1" t="s">
        <v>228</v>
      </c>
      <c r="S184" s="1">
        <f>IFERROR(AVERAGE(Urban[[#This Row],[‫دیسمبر‬‏]]:Urban[[#This Row],[‫اكتوبر‬‏]]),"")</f>
        <v>4156.666666666667</v>
      </c>
      <c r="T184" s="1">
        <f>IFERROR(AVERAGE(Urban[[#This Row],[‫سبتمبر‬‏]]:Urban[[#This Row],[‫یولیو‬‏]]),"")</f>
        <v>4109.333333333333</v>
      </c>
      <c r="U184" s="1">
        <f>IFERROR(AVERAGE(Urban[[#This Row],[‫یونیو‬‏]]:Urban[[#This Row],[‫ابریل‬‏]]),"")</f>
        <v>4104.666666666667</v>
      </c>
      <c r="V184" s="1">
        <f>IFERROR(AVERAGE(Urban[[#This Row],[‫مارس‬‏]]:Urban[[#This Row],[‫ینایر‬‏]]),"")</f>
        <v>4103.666666666667</v>
      </c>
    </row>
    <row r="185" spans="1:22" x14ac:dyDescent="0.35">
      <c r="A185" s="1">
        <v>29</v>
      </c>
      <c r="B185" s="1">
        <v>1057</v>
      </c>
      <c r="C185" s="1">
        <v>1088</v>
      </c>
      <c r="D185" s="1">
        <v>1090</v>
      </c>
      <c r="E185" s="1">
        <v>1095</v>
      </c>
      <c r="F185" s="1">
        <v>1095</v>
      </c>
      <c r="G185" s="1">
        <v>1087</v>
      </c>
      <c r="H185" s="1">
        <v>1083</v>
      </c>
      <c r="I185" s="1">
        <v>1083</v>
      </c>
      <c r="J185" s="1">
        <v>1084</v>
      </c>
      <c r="K185" s="1">
        <v>1088</v>
      </c>
      <c r="L185" s="1">
        <v>1088</v>
      </c>
      <c r="M185" s="1">
        <v>1085</v>
      </c>
      <c r="N185" s="1">
        <v>1088</v>
      </c>
      <c r="O185" s="1">
        <v>1090</v>
      </c>
      <c r="P185" t="s">
        <v>438</v>
      </c>
      <c r="Q185" t="s">
        <v>439</v>
      </c>
      <c r="R185" s="1" t="s">
        <v>228</v>
      </c>
      <c r="S185" s="1">
        <f>IFERROR(AVERAGE(Urban[[#This Row],[‫دیسمبر‬‏]]:Urban[[#This Row],[‫اكتوبر‬‏]]),"")</f>
        <v>1093.3333333333333</v>
      </c>
      <c r="T185" s="1">
        <f>IFERROR(AVERAGE(Urban[[#This Row],[‫سبتمبر‬‏]]:Urban[[#This Row],[‫یولیو‬‏]]),"")</f>
        <v>1084.3333333333333</v>
      </c>
      <c r="U185" s="1">
        <f>IFERROR(AVERAGE(Urban[[#This Row],[‫یونیو‬‏]]:Urban[[#This Row],[‫ابریل‬‏]]),"")</f>
        <v>1086.6666666666667</v>
      </c>
      <c r="V185" s="1">
        <f>IFERROR(AVERAGE(Urban[[#This Row],[‫مارس‬‏]]:Urban[[#This Row],[‫ینایر‬‏]]),"")</f>
        <v>1087.6666666666667</v>
      </c>
    </row>
    <row r="186" spans="1:22" x14ac:dyDescent="0.35">
      <c r="A186" s="1">
        <v>793</v>
      </c>
      <c r="B186" s="1">
        <v>4034</v>
      </c>
      <c r="C186" s="1">
        <v>4354</v>
      </c>
      <c r="D186" s="1">
        <v>4314</v>
      </c>
      <c r="E186" s="1">
        <v>4378</v>
      </c>
      <c r="F186" s="1">
        <v>4391</v>
      </c>
      <c r="G186" s="1">
        <v>4350</v>
      </c>
      <c r="H186" s="1">
        <v>4385</v>
      </c>
      <c r="I186" s="1">
        <v>4416</v>
      </c>
      <c r="J186" s="1">
        <v>4449</v>
      </c>
      <c r="K186" s="1">
        <v>4422</v>
      </c>
      <c r="L186" s="1">
        <v>4353</v>
      </c>
      <c r="M186" s="1">
        <v>4303</v>
      </c>
      <c r="N186" s="1">
        <v>4267</v>
      </c>
      <c r="O186" s="1">
        <v>4214</v>
      </c>
      <c r="P186" t="s">
        <v>440</v>
      </c>
      <c r="Q186" t="s">
        <v>441</v>
      </c>
      <c r="R186" s="1" t="s">
        <v>228</v>
      </c>
      <c r="S186" s="1">
        <f>IFERROR(AVERAGE(Urban[[#This Row],[‫دیسمبر‬‏]]:Urban[[#This Row],[‫اكتوبر‬‏]]),"")</f>
        <v>4361</v>
      </c>
      <c r="T186" s="1">
        <f>IFERROR(AVERAGE(Urban[[#This Row],[‫سبتمبر‬‏]]:Urban[[#This Row],[‫یولیو‬‏]]),"")</f>
        <v>4383.666666666667</v>
      </c>
      <c r="U186" s="1">
        <f>IFERROR(AVERAGE(Urban[[#This Row],[‫یونیو‬‏]]:Urban[[#This Row],[‫ابریل‬‏]]),"")</f>
        <v>4408</v>
      </c>
      <c r="V186" s="1">
        <f>IFERROR(AVERAGE(Urban[[#This Row],[‫مارس‬‏]]:Urban[[#This Row],[‫ینایر‬‏]]),"")</f>
        <v>4261.333333333333</v>
      </c>
    </row>
    <row r="187" spans="1:22" x14ac:dyDescent="0.35">
      <c r="A187" s="1">
        <v>966</v>
      </c>
      <c r="B187" s="1">
        <v>3598</v>
      </c>
      <c r="C187" s="1">
        <v>3946</v>
      </c>
      <c r="D187" s="1">
        <v>3897</v>
      </c>
      <c r="E187" s="1">
        <v>3983</v>
      </c>
      <c r="F187" s="1">
        <v>4021</v>
      </c>
      <c r="G187" s="1">
        <v>3941</v>
      </c>
      <c r="H187" s="1">
        <v>3969</v>
      </c>
      <c r="I187" s="1">
        <v>4037</v>
      </c>
      <c r="J187" s="1">
        <v>4048</v>
      </c>
      <c r="K187" s="1">
        <v>4010</v>
      </c>
      <c r="L187" s="1">
        <v>3918</v>
      </c>
      <c r="M187" s="1">
        <v>3874</v>
      </c>
      <c r="N187" s="1">
        <v>3849</v>
      </c>
      <c r="O187" s="1">
        <v>3808</v>
      </c>
      <c r="P187" t="s">
        <v>442</v>
      </c>
      <c r="Q187" t="s">
        <v>443</v>
      </c>
      <c r="R187" s="1" t="s">
        <v>228</v>
      </c>
      <c r="S187" s="1">
        <f>IFERROR(AVERAGE(Urban[[#This Row],[‫دیسمبر‬‏]]:Urban[[#This Row],[‫اكتوبر‬‏]]),"")</f>
        <v>3967</v>
      </c>
      <c r="T187" s="1">
        <f>IFERROR(AVERAGE(Urban[[#This Row],[‫سبتمبر‬‏]]:Urban[[#This Row],[‫یولیو‬‏]]),"")</f>
        <v>3982.3333333333335</v>
      </c>
      <c r="U187" s="1">
        <f>IFERROR(AVERAGE(Urban[[#This Row],[‫یونیو‬‏]]:Urban[[#This Row],[‫ابریل‬‏]]),"")</f>
        <v>3992</v>
      </c>
      <c r="V187" s="1">
        <f>IFERROR(AVERAGE(Urban[[#This Row],[‫مارس‬‏]]:Urban[[#This Row],[‫ینایر‬‏]]),"")</f>
        <v>3843.6666666666665</v>
      </c>
    </row>
    <row r="188" spans="1:22" x14ac:dyDescent="0.35">
      <c r="A188" s="1">
        <v>2029</v>
      </c>
      <c r="B188" s="1">
        <v>36626</v>
      </c>
      <c r="C188" s="1">
        <v>44057</v>
      </c>
      <c r="D188" s="1">
        <v>45084</v>
      </c>
      <c r="E188" s="1">
        <v>44982</v>
      </c>
      <c r="F188" s="1">
        <v>44731</v>
      </c>
      <c r="G188" s="1">
        <v>44809</v>
      </c>
      <c r="H188" s="1">
        <v>44738</v>
      </c>
      <c r="I188" s="1">
        <v>44790</v>
      </c>
      <c r="J188" s="1">
        <v>44141</v>
      </c>
      <c r="K188" s="1">
        <v>43884</v>
      </c>
      <c r="L188" s="1">
        <v>43610</v>
      </c>
      <c r="M188" s="1">
        <v>42925</v>
      </c>
      <c r="N188" s="1">
        <v>42778</v>
      </c>
      <c r="O188" s="1">
        <v>42215</v>
      </c>
      <c r="P188" t="s">
        <v>25</v>
      </c>
      <c r="Q188" t="s">
        <v>444</v>
      </c>
      <c r="R188" s="1" t="s">
        <v>228</v>
      </c>
      <c r="S188" s="1">
        <f>IFERROR(AVERAGE(Urban[[#This Row],[‫دیسمبر‬‏]]:Urban[[#This Row],[‫اكتوبر‬‏]]),"")</f>
        <v>44932.333333333336</v>
      </c>
      <c r="T188" s="1">
        <f>IFERROR(AVERAGE(Urban[[#This Row],[‫سبتمبر‬‏]]:Urban[[#This Row],[‫یولیو‬‏]]),"")</f>
        <v>44779</v>
      </c>
      <c r="U188" s="1">
        <f>IFERROR(AVERAGE(Urban[[#This Row],[‫یونیو‬‏]]:Urban[[#This Row],[‫ابریل‬‏]]),"")</f>
        <v>43878.333333333336</v>
      </c>
      <c r="V188" s="1">
        <f>IFERROR(AVERAGE(Urban[[#This Row],[‫مارس‬‏]]:Urban[[#This Row],[‫ینایر‬‏]]),"")</f>
        <v>42639.333333333336</v>
      </c>
    </row>
    <row r="189" spans="1:22" x14ac:dyDescent="0.35">
      <c r="A189" s="1">
        <v>-55</v>
      </c>
      <c r="B189" s="1">
        <v>37045</v>
      </c>
      <c r="C189" s="1">
        <v>34996</v>
      </c>
      <c r="D189" s="1">
        <v>34900</v>
      </c>
      <c r="E189" s="1">
        <v>34835</v>
      </c>
      <c r="F189" s="1">
        <v>34562</v>
      </c>
      <c r="G189" s="1">
        <v>34607</v>
      </c>
      <c r="H189" s="1">
        <v>34622</v>
      </c>
      <c r="I189" s="1">
        <v>34745</v>
      </c>
      <c r="J189" s="1">
        <v>35046</v>
      </c>
      <c r="K189" s="1">
        <v>35120</v>
      </c>
      <c r="L189" s="1">
        <v>35225</v>
      </c>
      <c r="M189" s="1">
        <v>35516</v>
      </c>
      <c r="N189" s="1">
        <v>35498</v>
      </c>
      <c r="O189" s="1">
        <v>35277</v>
      </c>
      <c r="P189" t="s">
        <v>25</v>
      </c>
      <c r="Q189" t="s">
        <v>445</v>
      </c>
      <c r="R189" s="1" t="s">
        <v>228</v>
      </c>
      <c r="S189" s="1">
        <f>IFERROR(AVERAGE(Urban[[#This Row],[‫دیسمبر‬‏]]:Urban[[#This Row],[‫اكتوبر‬‏]]),"")</f>
        <v>34765.666666666664</v>
      </c>
      <c r="T189" s="1">
        <f>IFERROR(AVERAGE(Urban[[#This Row],[‫سبتمبر‬‏]]:Urban[[#This Row],[‫یولیو‬‏]]),"")</f>
        <v>34658</v>
      </c>
      <c r="U189" s="1">
        <f>IFERROR(AVERAGE(Urban[[#This Row],[‫یونیو‬‏]]:Urban[[#This Row],[‫ابریل‬‏]]),"")</f>
        <v>35130.333333333336</v>
      </c>
      <c r="V189" s="1">
        <f>IFERROR(AVERAGE(Urban[[#This Row],[‫مارس‬‏]]:Urban[[#This Row],[‫ینایر‬‏]]),"")</f>
        <v>35430.333333333336</v>
      </c>
    </row>
    <row r="190" spans="1:22" x14ac:dyDescent="0.35">
      <c r="A190" s="1">
        <v>39</v>
      </c>
      <c r="B190" s="1">
        <v>24187</v>
      </c>
      <c r="C190" s="1">
        <v>25129</v>
      </c>
      <c r="D190" s="1">
        <v>25812</v>
      </c>
      <c r="E190" s="1">
        <v>25834</v>
      </c>
      <c r="F190" s="1">
        <v>25391</v>
      </c>
      <c r="G190" s="1">
        <v>25073</v>
      </c>
      <c r="H190" s="1">
        <v>25032</v>
      </c>
      <c r="I190" s="1">
        <v>24817</v>
      </c>
      <c r="J190" s="1">
        <v>24926</v>
      </c>
      <c r="K190" s="1">
        <v>24965</v>
      </c>
      <c r="L190" s="1">
        <v>24971</v>
      </c>
      <c r="M190" s="1">
        <v>25046</v>
      </c>
      <c r="N190" s="1">
        <v>24912</v>
      </c>
      <c r="O190" s="1">
        <v>24770</v>
      </c>
      <c r="P190" t="s">
        <v>25</v>
      </c>
      <c r="Q190" t="s">
        <v>446</v>
      </c>
      <c r="R190" s="1" t="s">
        <v>228</v>
      </c>
      <c r="S190" s="1">
        <f>IFERROR(AVERAGE(Urban[[#This Row],[‫دیسمبر‬‏]]:Urban[[#This Row],[‫اكتوبر‬‏]]),"")</f>
        <v>25679</v>
      </c>
      <c r="T190" s="1">
        <f>IFERROR(AVERAGE(Urban[[#This Row],[‫سبتمبر‬‏]]:Urban[[#This Row],[‫یولیو‬‏]]),"")</f>
        <v>24974</v>
      </c>
      <c r="U190" s="1">
        <f>IFERROR(AVERAGE(Urban[[#This Row],[‫یونیو‬‏]]:Urban[[#This Row],[‫ابریل‬‏]]),"")</f>
        <v>24954</v>
      </c>
      <c r="V190" s="1">
        <f>IFERROR(AVERAGE(Urban[[#This Row],[‫مارس‬‏]]:Urban[[#This Row],[‫ینایر‬‏]]),"")</f>
        <v>24909.333333333332</v>
      </c>
    </row>
    <row r="191" spans="1:22" x14ac:dyDescent="0.35">
      <c r="A191" s="1">
        <v>188</v>
      </c>
      <c r="B191" s="1">
        <v>23294</v>
      </c>
      <c r="C191" s="1">
        <v>27682</v>
      </c>
      <c r="D191" s="1">
        <v>28534</v>
      </c>
      <c r="E191" s="1">
        <v>28428</v>
      </c>
      <c r="F191" s="1">
        <v>28206</v>
      </c>
      <c r="G191" s="1">
        <v>28170</v>
      </c>
      <c r="H191" s="1">
        <v>28216</v>
      </c>
      <c r="I191" s="1">
        <v>28105</v>
      </c>
      <c r="J191" s="1">
        <v>27731</v>
      </c>
      <c r="K191" s="1">
        <v>27464</v>
      </c>
      <c r="L191" s="1">
        <v>27203</v>
      </c>
      <c r="M191" s="1">
        <v>26950</v>
      </c>
      <c r="N191" s="1">
        <v>26828</v>
      </c>
      <c r="O191" s="1">
        <v>26346</v>
      </c>
      <c r="P191" t="s">
        <v>25</v>
      </c>
      <c r="Q191" t="s">
        <v>447</v>
      </c>
      <c r="R191" s="1" t="s">
        <v>228</v>
      </c>
      <c r="S191" s="1">
        <f>IFERROR(AVERAGE(Urban[[#This Row],[‫دیسمبر‬‏]]:Urban[[#This Row],[‫اكتوبر‬‏]]),"")</f>
        <v>28389.333333333332</v>
      </c>
      <c r="T191" s="1">
        <f>IFERROR(AVERAGE(Urban[[#This Row],[‫سبتمبر‬‏]]:Urban[[#This Row],[‫یولیو‬‏]]),"")</f>
        <v>28163.666666666668</v>
      </c>
      <c r="U191" s="1">
        <f>IFERROR(AVERAGE(Urban[[#This Row],[‫یونیو‬‏]]:Urban[[#This Row],[‫ابریل‬‏]]),"")</f>
        <v>27466</v>
      </c>
      <c r="V191" s="1">
        <f>IFERROR(AVERAGE(Urban[[#This Row],[‫مارس‬‏]]:Urban[[#This Row],[‫ینایر‬‏]]),"")</f>
        <v>26708</v>
      </c>
    </row>
    <row r="192" spans="1:22" x14ac:dyDescent="0.35">
      <c r="A192" s="1">
        <v>35</v>
      </c>
      <c r="B192" s="1">
        <v>21833</v>
      </c>
      <c r="C192" s="1">
        <v>22602</v>
      </c>
      <c r="D192" s="1">
        <v>22762</v>
      </c>
      <c r="E192" s="1">
        <v>22755</v>
      </c>
      <c r="F192" s="1">
        <v>22651</v>
      </c>
      <c r="G192" s="1">
        <v>22722</v>
      </c>
      <c r="H192" s="1">
        <v>22604</v>
      </c>
      <c r="I192" s="1">
        <v>22664</v>
      </c>
      <c r="J192" s="1">
        <v>22454</v>
      </c>
      <c r="K192" s="1">
        <v>22584</v>
      </c>
      <c r="L192" s="1">
        <v>22572</v>
      </c>
      <c r="M192" s="1">
        <v>22690</v>
      </c>
      <c r="N192" s="1">
        <v>22612</v>
      </c>
      <c r="O192" s="1">
        <v>22148</v>
      </c>
      <c r="P192" t="s">
        <v>25</v>
      </c>
      <c r="Q192" t="s">
        <v>448</v>
      </c>
      <c r="R192" s="1" t="s">
        <v>228</v>
      </c>
      <c r="S192" s="1">
        <f>IFERROR(AVERAGE(Urban[[#This Row],[‫دیسمبر‬‏]]:Urban[[#This Row],[‫اكتوبر‬‏]]),"")</f>
        <v>22722.666666666668</v>
      </c>
      <c r="T192" s="1">
        <f>IFERROR(AVERAGE(Urban[[#This Row],[‫سبتمبر‬‏]]:Urban[[#This Row],[‫یولیو‬‏]]),"")</f>
        <v>22663.333333333332</v>
      </c>
      <c r="U192" s="1">
        <f>IFERROR(AVERAGE(Urban[[#This Row],[‫یونیو‬‏]]:Urban[[#This Row],[‫ابریل‬‏]]),"")</f>
        <v>22536.666666666668</v>
      </c>
      <c r="V192" s="1">
        <f>IFERROR(AVERAGE(Urban[[#This Row],[‫مارس‬‏]]:Urban[[#This Row],[‫ینایر‬‏]]),"")</f>
        <v>22483.333333333332</v>
      </c>
    </row>
    <row r="193" spans="1:22" x14ac:dyDescent="0.35">
      <c r="A193" s="1">
        <v>-47</v>
      </c>
      <c r="B193" s="1">
        <v>8260</v>
      </c>
      <c r="C193" s="1">
        <v>7875</v>
      </c>
      <c r="D193" s="1">
        <v>8069</v>
      </c>
      <c r="E193" s="1">
        <v>7920</v>
      </c>
      <c r="F193" s="1">
        <v>7859</v>
      </c>
      <c r="G193" s="1">
        <v>7866</v>
      </c>
      <c r="H193" s="1">
        <v>7840</v>
      </c>
      <c r="I193" s="1">
        <v>7876</v>
      </c>
      <c r="J193" s="1">
        <v>7845</v>
      </c>
      <c r="K193" s="1">
        <v>7828</v>
      </c>
      <c r="L193" s="1">
        <v>7845</v>
      </c>
      <c r="M193" s="1">
        <v>7853</v>
      </c>
      <c r="N193" s="1">
        <v>7826</v>
      </c>
      <c r="O193" s="1">
        <v>7879</v>
      </c>
      <c r="P193" t="s">
        <v>215</v>
      </c>
      <c r="Q193" t="s">
        <v>449</v>
      </c>
      <c r="R193" s="1" t="s">
        <v>228</v>
      </c>
      <c r="S193" s="1">
        <f>IFERROR(AVERAGE(Urban[[#This Row],[‫دیسمبر‬‏]]:Urban[[#This Row],[‫اكتوبر‬‏]]),"")</f>
        <v>7949.333333333333</v>
      </c>
      <c r="T193" s="1">
        <f>IFERROR(AVERAGE(Urban[[#This Row],[‫سبتمبر‬‏]]:Urban[[#This Row],[‫یولیو‬‏]]),"")</f>
        <v>7860.666666666667</v>
      </c>
      <c r="U193" s="1">
        <f>IFERROR(AVERAGE(Urban[[#This Row],[‫یونیو‬‏]]:Urban[[#This Row],[‫ابریل‬‏]]),"")</f>
        <v>7839.333333333333</v>
      </c>
      <c r="V193" s="1">
        <f>IFERROR(AVERAGE(Urban[[#This Row],[‫مارس‬‏]]:Urban[[#This Row],[‫ینایر‬‏]]),"")</f>
        <v>7852.666666666667</v>
      </c>
    </row>
    <row r="194" spans="1:22" x14ac:dyDescent="0.35">
      <c r="A194" s="1">
        <v>-35</v>
      </c>
      <c r="B194" s="1">
        <v>9332</v>
      </c>
      <c r="C194" s="1">
        <v>9006</v>
      </c>
      <c r="D194" s="1">
        <v>9293</v>
      </c>
      <c r="E194" s="1">
        <v>9122</v>
      </c>
      <c r="F194" s="1">
        <v>8986</v>
      </c>
      <c r="G194" s="1">
        <v>9003</v>
      </c>
      <c r="H194" s="1">
        <v>9028</v>
      </c>
      <c r="I194" s="1">
        <v>9032</v>
      </c>
      <c r="J194" s="1">
        <v>8991</v>
      </c>
      <c r="K194" s="1">
        <v>8942</v>
      </c>
      <c r="L194" s="1">
        <v>8995</v>
      </c>
      <c r="M194" s="1">
        <v>8862</v>
      </c>
      <c r="N194" s="1">
        <v>8834</v>
      </c>
      <c r="O194" s="1">
        <v>8982</v>
      </c>
      <c r="P194" t="s">
        <v>215</v>
      </c>
      <c r="Q194" t="s">
        <v>450</v>
      </c>
      <c r="R194" s="1" t="s">
        <v>228</v>
      </c>
      <c r="S194" s="1">
        <f>IFERROR(AVERAGE(Urban[[#This Row],[‫دیسمبر‬‏]]:Urban[[#This Row],[‫اكتوبر‬‏]]),"")</f>
        <v>9133.6666666666661</v>
      </c>
      <c r="T194" s="1">
        <f>IFERROR(AVERAGE(Urban[[#This Row],[‫سبتمبر‬‏]]:Urban[[#This Row],[‫یولیو‬‏]]),"")</f>
        <v>9021</v>
      </c>
      <c r="U194" s="1">
        <f>IFERROR(AVERAGE(Urban[[#This Row],[‫یونیو‬‏]]:Urban[[#This Row],[‫ابریل‬‏]]),"")</f>
        <v>8976</v>
      </c>
      <c r="V194" s="1">
        <f>IFERROR(AVERAGE(Urban[[#This Row],[‫مارس‬‏]]:Urban[[#This Row],[‫ینایر‬‏]]),"")</f>
        <v>8892.6666666666661</v>
      </c>
    </row>
    <row r="195" spans="1:22" x14ac:dyDescent="0.35">
      <c r="A195" s="1">
        <v>-10</v>
      </c>
      <c r="B195" s="1">
        <v>6018</v>
      </c>
      <c r="C195" s="1">
        <v>5960</v>
      </c>
      <c r="D195" s="1">
        <v>5998</v>
      </c>
      <c r="E195" s="1">
        <v>5977</v>
      </c>
      <c r="F195" s="1">
        <v>5939</v>
      </c>
      <c r="G195" s="1">
        <v>5985</v>
      </c>
      <c r="H195" s="1">
        <v>5977</v>
      </c>
      <c r="I195" s="1">
        <v>5987</v>
      </c>
      <c r="J195" s="1">
        <v>5956</v>
      </c>
      <c r="K195" s="1">
        <v>5965</v>
      </c>
      <c r="L195" s="1">
        <v>5942</v>
      </c>
      <c r="M195" s="1">
        <v>5931</v>
      </c>
      <c r="N195" s="1">
        <v>5936</v>
      </c>
      <c r="O195" s="1">
        <v>5928</v>
      </c>
      <c r="P195" t="s">
        <v>215</v>
      </c>
      <c r="Q195" t="s">
        <v>451</v>
      </c>
      <c r="R195" s="1" t="s">
        <v>228</v>
      </c>
      <c r="S195" s="1">
        <f>IFERROR(AVERAGE(Urban[[#This Row],[‫دیسمبر‬‏]]:Urban[[#This Row],[‫اكتوبر‬‏]]),"")</f>
        <v>5971.333333333333</v>
      </c>
      <c r="T195" s="1">
        <f>IFERROR(AVERAGE(Urban[[#This Row],[‫سبتمبر‬‏]]:Urban[[#This Row],[‫یولیو‬‏]]),"")</f>
        <v>5983</v>
      </c>
      <c r="U195" s="1">
        <f>IFERROR(AVERAGE(Urban[[#This Row],[‫یونیو‬‏]]:Urban[[#This Row],[‫ابریل‬‏]]),"")</f>
        <v>5954.333333333333</v>
      </c>
      <c r="V195" s="1">
        <f>IFERROR(AVERAGE(Urban[[#This Row],[‫مارس‬‏]]:Urban[[#This Row],[‫ینایر‬‏]]),"")</f>
        <v>5931.666666666667</v>
      </c>
    </row>
    <row r="196" spans="1:22" x14ac:dyDescent="0.35">
      <c r="A196" s="1">
        <v>155</v>
      </c>
      <c r="B196" s="1">
        <v>52081</v>
      </c>
      <c r="C196" s="1">
        <v>60135</v>
      </c>
      <c r="D196" s="1">
        <v>64377</v>
      </c>
      <c r="E196" s="1">
        <v>63020</v>
      </c>
      <c r="F196" s="1">
        <v>61993</v>
      </c>
      <c r="G196" s="1">
        <v>61144</v>
      </c>
      <c r="H196" s="1">
        <v>60276</v>
      </c>
      <c r="I196" s="1">
        <v>59880</v>
      </c>
      <c r="J196" s="1">
        <v>59856</v>
      </c>
      <c r="K196" s="1">
        <v>59162</v>
      </c>
      <c r="L196" s="1">
        <v>58931</v>
      </c>
      <c r="M196" s="1">
        <v>58191</v>
      </c>
      <c r="N196" s="1">
        <v>58117</v>
      </c>
      <c r="O196" s="1">
        <v>56677</v>
      </c>
      <c r="P196" t="s">
        <v>25</v>
      </c>
      <c r="Q196" t="s">
        <v>452</v>
      </c>
      <c r="R196" s="1" t="s">
        <v>228</v>
      </c>
      <c r="S196" s="1">
        <f>IFERROR(AVERAGE(Urban[[#This Row],[‫دیسمبر‬‏]]:Urban[[#This Row],[‫اكتوبر‬‏]]),"")</f>
        <v>63130</v>
      </c>
      <c r="T196" s="1">
        <f>IFERROR(AVERAGE(Urban[[#This Row],[‫سبتمبر‬‏]]:Urban[[#This Row],[‫یولیو‬‏]]),"")</f>
        <v>60433.333333333336</v>
      </c>
      <c r="U196" s="1">
        <f>IFERROR(AVERAGE(Urban[[#This Row],[‫یونیو‬‏]]:Urban[[#This Row],[‫ابریل‬‏]]),"")</f>
        <v>59316.333333333336</v>
      </c>
      <c r="V196" s="1">
        <f>IFERROR(AVERAGE(Urban[[#This Row],[‫مارس‬‏]]:Urban[[#This Row],[‫ینایر‬‏]]),"")</f>
        <v>57661.666666666664</v>
      </c>
    </row>
    <row r="197" spans="1:22" x14ac:dyDescent="0.35">
      <c r="A197" s="1">
        <v>167</v>
      </c>
      <c r="B197" s="1">
        <v>31893</v>
      </c>
      <c r="C197" s="1">
        <v>37223</v>
      </c>
      <c r="D197" s="1">
        <v>39543</v>
      </c>
      <c r="E197" s="1">
        <v>38897</v>
      </c>
      <c r="F197" s="1">
        <v>38699</v>
      </c>
      <c r="G197" s="1">
        <v>38002</v>
      </c>
      <c r="H197" s="1">
        <v>37305</v>
      </c>
      <c r="I197" s="1">
        <v>37163</v>
      </c>
      <c r="J197" s="1">
        <v>37132</v>
      </c>
      <c r="K197" s="1">
        <v>36976</v>
      </c>
      <c r="L197" s="1">
        <v>36681</v>
      </c>
      <c r="M197" s="1">
        <v>36331</v>
      </c>
      <c r="N197" s="1">
        <v>35352</v>
      </c>
      <c r="O197" s="1">
        <v>34591</v>
      </c>
      <c r="P197" t="s">
        <v>25</v>
      </c>
      <c r="Q197" t="s">
        <v>453</v>
      </c>
      <c r="R197" s="1" t="s">
        <v>228</v>
      </c>
      <c r="S197" s="1">
        <f>IFERROR(AVERAGE(Urban[[#This Row],[‫دیسمبر‬‏]]:Urban[[#This Row],[‫اكتوبر‬‏]]),"")</f>
        <v>39046.333333333336</v>
      </c>
      <c r="T197" s="1">
        <f>IFERROR(AVERAGE(Urban[[#This Row],[‫سبتمبر‬‏]]:Urban[[#This Row],[‫یولیو‬‏]]),"")</f>
        <v>37490</v>
      </c>
      <c r="U197" s="1">
        <f>IFERROR(AVERAGE(Urban[[#This Row],[‫یونیو‬‏]]:Urban[[#This Row],[‫ابریل‬‏]]),"")</f>
        <v>36929.666666666664</v>
      </c>
      <c r="V197" s="1">
        <f>IFERROR(AVERAGE(Urban[[#This Row],[‫مارس‬‏]]:Urban[[#This Row],[‫ینایر‬‏]]),"")</f>
        <v>35424.666666666664</v>
      </c>
    </row>
    <row r="198" spans="1:22" x14ac:dyDescent="0.35">
      <c r="A198" s="1">
        <v>78</v>
      </c>
      <c r="B198" s="1">
        <v>26557</v>
      </c>
      <c r="C198" s="1">
        <v>28620</v>
      </c>
      <c r="D198" s="1">
        <v>29838</v>
      </c>
      <c r="E198" s="1">
        <v>29642</v>
      </c>
      <c r="F198" s="1">
        <v>29376</v>
      </c>
      <c r="G198" s="1">
        <v>28669</v>
      </c>
      <c r="H198" s="1">
        <v>28504</v>
      </c>
      <c r="I198" s="1">
        <v>28505</v>
      </c>
      <c r="J198" s="1">
        <v>28473</v>
      </c>
      <c r="K198" s="1">
        <v>28373</v>
      </c>
      <c r="L198" s="1">
        <v>28195</v>
      </c>
      <c r="M198" s="1">
        <v>28022</v>
      </c>
      <c r="N198" s="1">
        <v>27912</v>
      </c>
      <c r="O198" s="1">
        <v>27937</v>
      </c>
      <c r="P198" t="s">
        <v>25</v>
      </c>
      <c r="Q198" t="s">
        <v>454</v>
      </c>
      <c r="R198" s="1" t="s">
        <v>228</v>
      </c>
      <c r="S198" s="1">
        <f>IFERROR(AVERAGE(Urban[[#This Row],[‫دیسمبر‬‏]]:Urban[[#This Row],[‫اكتوبر‬‏]]),"")</f>
        <v>29618.666666666668</v>
      </c>
      <c r="T198" s="1">
        <f>IFERROR(AVERAGE(Urban[[#This Row],[‫سبتمبر‬‏]]:Urban[[#This Row],[‫یولیو‬‏]]),"")</f>
        <v>28559.333333333332</v>
      </c>
      <c r="U198" s="1">
        <f>IFERROR(AVERAGE(Urban[[#This Row],[‫یونیو‬‏]]:Urban[[#This Row],[‫ابریل‬‏]]),"")</f>
        <v>28347</v>
      </c>
      <c r="V198" s="1">
        <f>IFERROR(AVERAGE(Urban[[#This Row],[‫مارس‬‏]]:Urban[[#This Row],[‫ینایر‬‏]]),"")</f>
        <v>27957</v>
      </c>
    </row>
    <row r="199" spans="1:22" x14ac:dyDescent="0.35">
      <c r="A199" s="1">
        <v>97</v>
      </c>
      <c r="B199" s="1">
        <v>22858</v>
      </c>
      <c r="C199" s="1">
        <v>25080</v>
      </c>
      <c r="D199" s="1">
        <v>25931</v>
      </c>
      <c r="E199" s="1">
        <v>25865</v>
      </c>
      <c r="F199" s="1">
        <v>25610</v>
      </c>
      <c r="G199" s="1">
        <v>25134</v>
      </c>
      <c r="H199" s="1">
        <v>25072</v>
      </c>
      <c r="I199" s="1">
        <v>25030</v>
      </c>
      <c r="J199" s="1">
        <v>24976</v>
      </c>
      <c r="K199" s="1">
        <v>24920</v>
      </c>
      <c r="L199" s="1">
        <v>24778</v>
      </c>
      <c r="M199" s="1">
        <v>24581</v>
      </c>
      <c r="N199" s="1">
        <v>24527</v>
      </c>
      <c r="O199" s="1">
        <v>24532</v>
      </c>
      <c r="P199" t="s">
        <v>25</v>
      </c>
      <c r="Q199" t="s">
        <v>455</v>
      </c>
      <c r="R199" s="1" t="s">
        <v>228</v>
      </c>
      <c r="S199" s="1">
        <f>IFERROR(AVERAGE(Urban[[#This Row],[‫دیسمبر‬‏]]:Urban[[#This Row],[‫اكتوبر‬‏]]),"")</f>
        <v>25802</v>
      </c>
      <c r="T199" s="1">
        <f>IFERROR(AVERAGE(Urban[[#This Row],[‫سبتمبر‬‏]]:Urban[[#This Row],[‫یولیو‬‏]]),"")</f>
        <v>25078.666666666668</v>
      </c>
      <c r="U199" s="1">
        <f>IFERROR(AVERAGE(Urban[[#This Row],[‫یونیو‬‏]]:Urban[[#This Row],[‫ابریل‬‏]]),"")</f>
        <v>24891.333333333332</v>
      </c>
      <c r="V199" s="1">
        <f>IFERROR(AVERAGE(Urban[[#This Row],[‫مارس‬‏]]:Urban[[#This Row],[‫ینایر‬‏]]),"")</f>
        <v>24546.666666666668</v>
      </c>
    </row>
    <row r="200" spans="1:22" x14ac:dyDescent="0.35">
      <c r="A200" s="1">
        <v>115</v>
      </c>
      <c r="B200" s="1">
        <v>11237</v>
      </c>
      <c r="C200" s="1">
        <v>12531</v>
      </c>
      <c r="D200" s="1">
        <v>12987</v>
      </c>
      <c r="E200" s="1">
        <v>12922</v>
      </c>
      <c r="F200" s="1">
        <v>12733</v>
      </c>
      <c r="G200" s="1">
        <v>12653</v>
      </c>
      <c r="H200" s="1">
        <v>12594</v>
      </c>
      <c r="I200" s="1">
        <v>12572</v>
      </c>
      <c r="J200" s="1">
        <v>12500</v>
      </c>
      <c r="K200" s="1">
        <v>12494</v>
      </c>
      <c r="L200" s="1">
        <v>12394</v>
      </c>
      <c r="M200" s="1">
        <v>12247</v>
      </c>
      <c r="N200" s="1">
        <v>12164</v>
      </c>
      <c r="O200" s="1">
        <v>12115</v>
      </c>
      <c r="P200" t="s">
        <v>25</v>
      </c>
      <c r="Q200" t="s">
        <v>456</v>
      </c>
      <c r="R200" s="1" t="s">
        <v>228</v>
      </c>
      <c r="S200" s="1">
        <f>IFERROR(AVERAGE(Urban[[#This Row],[‫دیسمبر‬‏]]:Urban[[#This Row],[‫اكتوبر‬‏]]),"")</f>
        <v>12880.666666666666</v>
      </c>
      <c r="T200" s="1">
        <f>IFERROR(AVERAGE(Urban[[#This Row],[‫سبتمبر‬‏]]:Urban[[#This Row],[‫یولیو‬‏]]),"")</f>
        <v>12606.333333333334</v>
      </c>
      <c r="U200" s="1">
        <f>IFERROR(AVERAGE(Urban[[#This Row],[‫یونیو‬‏]]:Urban[[#This Row],[‫ابریل‬‏]]),"")</f>
        <v>12462.666666666666</v>
      </c>
      <c r="V200" s="1">
        <f>IFERROR(AVERAGE(Urban[[#This Row],[‫مارس‬‏]]:Urban[[#This Row],[‫ینایر‬‏]]),"")</f>
        <v>12175.333333333334</v>
      </c>
    </row>
    <row r="201" spans="1:22" x14ac:dyDescent="0.35">
      <c r="A201" s="1">
        <v>79</v>
      </c>
      <c r="B201" s="1">
        <v>13718</v>
      </c>
      <c r="C201" s="1">
        <v>14803</v>
      </c>
      <c r="D201" s="1">
        <v>15293</v>
      </c>
      <c r="E201" s="1">
        <v>15152</v>
      </c>
      <c r="F201" s="1">
        <v>14992</v>
      </c>
      <c r="G201" s="1">
        <v>14918</v>
      </c>
      <c r="H201" s="1">
        <v>14814</v>
      </c>
      <c r="I201" s="1">
        <v>14754</v>
      </c>
      <c r="J201" s="1">
        <v>14754</v>
      </c>
      <c r="K201" s="1">
        <v>14744</v>
      </c>
      <c r="L201" s="1">
        <v>14701</v>
      </c>
      <c r="M201" s="1">
        <v>14468</v>
      </c>
      <c r="N201" s="1">
        <v>14383</v>
      </c>
      <c r="O201" s="1">
        <v>14666</v>
      </c>
      <c r="P201" t="s">
        <v>25</v>
      </c>
      <c r="Q201" t="s">
        <v>457</v>
      </c>
      <c r="R201" s="1" t="s">
        <v>228</v>
      </c>
      <c r="S201" s="1">
        <f>IFERROR(AVERAGE(Urban[[#This Row],[‫دیسمبر‬‏]]:Urban[[#This Row],[‫اكتوبر‬‏]]),"")</f>
        <v>15145.666666666666</v>
      </c>
      <c r="T201" s="1">
        <f>IFERROR(AVERAGE(Urban[[#This Row],[‫سبتمبر‬‏]]:Urban[[#This Row],[‫یولیو‬‏]]),"")</f>
        <v>14828.666666666666</v>
      </c>
      <c r="U201" s="1">
        <f>IFERROR(AVERAGE(Urban[[#This Row],[‫یونیو‬‏]]:Urban[[#This Row],[‫ابریل‬‏]]),"")</f>
        <v>14733</v>
      </c>
      <c r="V201" s="1">
        <f>IFERROR(AVERAGE(Urban[[#This Row],[‫مارس‬‏]]:Urban[[#This Row],[‫ینایر‬‏]]),"")</f>
        <v>14505.666666666666</v>
      </c>
    </row>
    <row r="202" spans="1:22" x14ac:dyDescent="0.35">
      <c r="A202" s="1">
        <v>98</v>
      </c>
      <c r="B202" s="1">
        <v>6349</v>
      </c>
      <c r="C202" s="1">
        <v>6972</v>
      </c>
      <c r="D202" s="1">
        <v>7072</v>
      </c>
      <c r="E202" s="1">
        <v>7047</v>
      </c>
      <c r="F202" s="1">
        <v>7030</v>
      </c>
      <c r="G202" s="1">
        <v>7042</v>
      </c>
      <c r="H202" s="1">
        <v>7014</v>
      </c>
      <c r="I202" s="1">
        <v>7007</v>
      </c>
      <c r="J202" s="1">
        <v>6989</v>
      </c>
      <c r="K202" s="1">
        <v>6987</v>
      </c>
      <c r="L202" s="1">
        <v>6780</v>
      </c>
      <c r="M202" s="1">
        <v>6777</v>
      </c>
      <c r="N202" s="1">
        <v>6939</v>
      </c>
      <c r="O202" s="1">
        <v>6984</v>
      </c>
      <c r="P202" t="s">
        <v>25</v>
      </c>
      <c r="Q202" t="s">
        <v>458</v>
      </c>
      <c r="R202" s="1" t="s">
        <v>228</v>
      </c>
      <c r="S202" s="1">
        <f>IFERROR(AVERAGE(Urban[[#This Row],[‫دیسمبر‬‏]]:Urban[[#This Row],[‫اكتوبر‬‏]]),"")</f>
        <v>7049.666666666667</v>
      </c>
      <c r="T202" s="1">
        <f>IFERROR(AVERAGE(Urban[[#This Row],[‫سبتمبر‬‏]]:Urban[[#This Row],[‫یولیو‬‏]]),"")</f>
        <v>7021</v>
      </c>
      <c r="U202" s="1">
        <f>IFERROR(AVERAGE(Urban[[#This Row],[‫یونیو‬‏]]:Urban[[#This Row],[‫ابریل‬‏]]),"")</f>
        <v>6918.666666666667</v>
      </c>
      <c r="V202" s="1">
        <f>IFERROR(AVERAGE(Urban[[#This Row],[‫مارس‬‏]]:Urban[[#This Row],[‫ینایر‬‏]]),"")</f>
        <v>6900</v>
      </c>
    </row>
    <row r="203" spans="1:22" x14ac:dyDescent="0.35">
      <c r="A203" s="1">
        <v>105</v>
      </c>
      <c r="B203" s="1">
        <v>19686</v>
      </c>
      <c r="C203" s="1">
        <v>21749</v>
      </c>
      <c r="D203" s="1">
        <v>22356</v>
      </c>
      <c r="E203" s="1">
        <v>22187</v>
      </c>
      <c r="F203" s="1">
        <v>22036</v>
      </c>
      <c r="G203" s="1">
        <v>22069</v>
      </c>
      <c r="H203" s="1">
        <v>21705</v>
      </c>
      <c r="I203" s="1">
        <v>21684</v>
      </c>
      <c r="J203" s="1">
        <v>21685</v>
      </c>
      <c r="K203" s="1">
        <v>21711</v>
      </c>
      <c r="L203" s="1">
        <v>21509</v>
      </c>
      <c r="M203" s="1">
        <v>21311</v>
      </c>
      <c r="N203" s="1">
        <v>21540</v>
      </c>
      <c r="O203" s="1">
        <v>21189</v>
      </c>
      <c r="P203" t="s">
        <v>25</v>
      </c>
      <c r="Q203" t="s">
        <v>459</v>
      </c>
      <c r="R203" s="1" t="s">
        <v>228</v>
      </c>
      <c r="S203" s="1">
        <f>IFERROR(AVERAGE(Urban[[#This Row],[‫دیسمبر‬‏]]:Urban[[#This Row],[‫اكتوبر‬‏]]),"")</f>
        <v>22193</v>
      </c>
      <c r="T203" s="1">
        <f>IFERROR(AVERAGE(Urban[[#This Row],[‫سبتمبر‬‏]]:Urban[[#This Row],[‫یولیو‬‏]]),"")</f>
        <v>21819.333333333332</v>
      </c>
      <c r="U203" s="1">
        <f>IFERROR(AVERAGE(Urban[[#This Row],[‫یونیو‬‏]]:Urban[[#This Row],[‫ابریل‬‏]]),"")</f>
        <v>21635</v>
      </c>
      <c r="V203" s="1">
        <f>IFERROR(AVERAGE(Urban[[#This Row],[‫مارس‬‏]]:Urban[[#This Row],[‫ینایر‬‏]]),"")</f>
        <v>21346.666666666668</v>
      </c>
    </row>
    <row r="204" spans="1:22" x14ac:dyDescent="0.35">
      <c r="A204" s="1">
        <v>56</v>
      </c>
      <c r="B204" s="1">
        <v>41134</v>
      </c>
      <c r="C204" s="1">
        <v>43456</v>
      </c>
      <c r="D204" s="1">
        <v>44045</v>
      </c>
      <c r="E204" s="1">
        <v>43844</v>
      </c>
      <c r="F204" s="1">
        <v>43802</v>
      </c>
      <c r="G204" s="1">
        <v>43820</v>
      </c>
      <c r="H204" s="1">
        <v>43448</v>
      </c>
      <c r="I204" s="1">
        <v>43793</v>
      </c>
      <c r="J204" s="1">
        <v>43653</v>
      </c>
      <c r="K204" s="1">
        <v>43558</v>
      </c>
      <c r="L204" s="1">
        <v>42848</v>
      </c>
      <c r="M204" s="1">
        <v>42689</v>
      </c>
      <c r="N204" s="1">
        <v>42410</v>
      </c>
      <c r="O204" s="1">
        <v>43558</v>
      </c>
      <c r="P204" t="s">
        <v>25</v>
      </c>
      <c r="Q204" t="s">
        <v>460</v>
      </c>
      <c r="R204" s="1" t="s">
        <v>228</v>
      </c>
      <c r="S204" s="1">
        <f>IFERROR(AVERAGE(Urban[[#This Row],[‫دیسمبر‬‏]]:Urban[[#This Row],[‫اكتوبر‬‏]]),"")</f>
        <v>43897</v>
      </c>
      <c r="T204" s="1">
        <f>IFERROR(AVERAGE(Urban[[#This Row],[‫سبتمبر‬‏]]:Urban[[#This Row],[‫یولیو‬‏]]),"")</f>
        <v>43687</v>
      </c>
      <c r="U204" s="1">
        <f>IFERROR(AVERAGE(Urban[[#This Row],[‫یونیو‬‏]]:Urban[[#This Row],[‫ابریل‬‏]]),"")</f>
        <v>43353</v>
      </c>
      <c r="V204" s="1">
        <f>IFERROR(AVERAGE(Urban[[#This Row],[‫مارس‬‏]]:Urban[[#This Row],[‫ینایر‬‏]]),"")</f>
        <v>42885.666666666664</v>
      </c>
    </row>
    <row r="205" spans="1:22" x14ac:dyDescent="0.35">
      <c r="A205" s="1">
        <v>26</v>
      </c>
      <c r="B205" s="1">
        <v>35300</v>
      </c>
      <c r="C205" s="1">
        <v>36212</v>
      </c>
      <c r="D205" s="1">
        <v>36400</v>
      </c>
      <c r="E205" s="1">
        <v>36247</v>
      </c>
      <c r="F205" s="1">
        <v>36216</v>
      </c>
      <c r="G205" s="1">
        <v>36220</v>
      </c>
      <c r="H205" s="1">
        <v>36093</v>
      </c>
      <c r="I205" s="1">
        <v>36352</v>
      </c>
      <c r="J205" s="1">
        <v>36150</v>
      </c>
      <c r="K205" s="1">
        <v>35988</v>
      </c>
      <c r="L205" s="1">
        <v>35270</v>
      </c>
      <c r="M205" s="1">
        <v>35077</v>
      </c>
      <c r="N205" s="1">
        <v>35984</v>
      </c>
      <c r="O205" s="1">
        <v>38553</v>
      </c>
      <c r="P205" t="s">
        <v>25</v>
      </c>
      <c r="Q205" t="s">
        <v>461</v>
      </c>
      <c r="R205" s="1" t="s">
        <v>228</v>
      </c>
      <c r="S205" s="1">
        <f>IFERROR(AVERAGE(Urban[[#This Row],[‫دیسمبر‬‏]]:Urban[[#This Row],[‫اكتوبر‬‏]]),"")</f>
        <v>36287.666666666664</v>
      </c>
      <c r="T205" s="1">
        <f>IFERROR(AVERAGE(Urban[[#This Row],[‫سبتمبر‬‏]]:Urban[[#This Row],[‫یولیو‬‏]]),"")</f>
        <v>36221.666666666664</v>
      </c>
      <c r="U205" s="1">
        <f>IFERROR(AVERAGE(Urban[[#This Row],[‫یونیو‬‏]]:Urban[[#This Row],[‫ابریل‬‏]]),"")</f>
        <v>35802.666666666664</v>
      </c>
      <c r="V205" s="1">
        <f>IFERROR(AVERAGE(Urban[[#This Row],[‫مارس‬‏]]:Urban[[#This Row],[‫ینایر‬‏]]),"")</f>
        <v>36538</v>
      </c>
    </row>
    <row r="206" spans="1:22" x14ac:dyDescent="0.35">
      <c r="A206" s="1">
        <v>234</v>
      </c>
      <c r="B206" s="1">
        <v>11041</v>
      </c>
      <c r="C206" s="1">
        <v>13626</v>
      </c>
      <c r="D206" s="1">
        <v>13325</v>
      </c>
      <c r="E206" s="1">
        <v>13254</v>
      </c>
      <c r="F206" s="1">
        <v>14093</v>
      </c>
      <c r="G206" s="1">
        <v>14118</v>
      </c>
      <c r="H206" s="1">
        <v>13904</v>
      </c>
      <c r="I206" s="1">
        <v>14011</v>
      </c>
      <c r="J206" s="1">
        <v>13947</v>
      </c>
      <c r="K206" s="1">
        <v>13947</v>
      </c>
      <c r="L206" s="1">
        <v>13571</v>
      </c>
      <c r="M206" s="1">
        <v>13488</v>
      </c>
      <c r="N206" s="1">
        <v>13475</v>
      </c>
      <c r="O206" s="1">
        <v>12380</v>
      </c>
      <c r="P206" t="s">
        <v>363</v>
      </c>
      <c r="Q206" t="s">
        <v>462</v>
      </c>
      <c r="R206" s="1" t="s">
        <v>228</v>
      </c>
      <c r="S206" s="1">
        <f>IFERROR(AVERAGE(Urban[[#This Row],[‫دیسمبر‬‏]]:Urban[[#This Row],[‫اكتوبر‬‏]]),"")</f>
        <v>13557.333333333334</v>
      </c>
      <c r="T206" s="1">
        <f>IFERROR(AVERAGE(Urban[[#This Row],[‫سبتمبر‬‏]]:Urban[[#This Row],[‫یولیو‬‏]]),"")</f>
        <v>14011</v>
      </c>
      <c r="U206" s="1">
        <f>IFERROR(AVERAGE(Urban[[#This Row],[‫یونیو‬‏]]:Urban[[#This Row],[‫ابریل‬‏]]),"")</f>
        <v>13821.666666666666</v>
      </c>
      <c r="V206" s="1">
        <f>IFERROR(AVERAGE(Urban[[#This Row],[‫مارس‬‏]]:Urban[[#This Row],[‫ینایر‬‏]]),"")</f>
        <v>13114.333333333334</v>
      </c>
    </row>
    <row r="207" spans="1:22" x14ac:dyDescent="0.35">
      <c r="A207" s="1">
        <v>144</v>
      </c>
      <c r="B207" s="1">
        <v>8162</v>
      </c>
      <c r="C207" s="1">
        <v>9340</v>
      </c>
      <c r="D207" s="1">
        <v>9554</v>
      </c>
      <c r="E207" s="1">
        <v>9503</v>
      </c>
      <c r="F207" s="1">
        <v>9490</v>
      </c>
      <c r="G207" s="1">
        <v>9526</v>
      </c>
      <c r="H207" s="1">
        <v>9370</v>
      </c>
      <c r="I207" s="1">
        <v>9481</v>
      </c>
      <c r="J207" s="1">
        <v>9417</v>
      </c>
      <c r="K207" s="1">
        <v>9403</v>
      </c>
      <c r="L207" s="1">
        <v>9182</v>
      </c>
      <c r="M207" s="1">
        <v>9110</v>
      </c>
      <c r="N207" s="1">
        <v>9148</v>
      </c>
      <c r="O207" s="1">
        <v>8897</v>
      </c>
      <c r="P207" t="s">
        <v>373</v>
      </c>
      <c r="Q207" t="s">
        <v>463</v>
      </c>
      <c r="R207" s="1" t="s">
        <v>228</v>
      </c>
      <c r="S207" s="1">
        <f>IFERROR(AVERAGE(Urban[[#This Row],[‫دیسمبر‬‏]]:Urban[[#This Row],[‫اكتوبر‬‏]]),"")</f>
        <v>9515.6666666666661</v>
      </c>
      <c r="T207" s="1">
        <f>IFERROR(AVERAGE(Urban[[#This Row],[‫سبتمبر‬‏]]:Urban[[#This Row],[‫یولیو‬‏]]),"")</f>
        <v>9459</v>
      </c>
      <c r="U207" s="1">
        <f>IFERROR(AVERAGE(Urban[[#This Row],[‫یونیو‬‏]]:Urban[[#This Row],[‫ابریل‬‏]]),"")</f>
        <v>9334</v>
      </c>
      <c r="V207" s="1">
        <f>IFERROR(AVERAGE(Urban[[#This Row],[‫مارس‬‏]]:Urban[[#This Row],[‫ینایر‬‏]]),"")</f>
        <v>9051.6666666666661</v>
      </c>
    </row>
    <row r="208" spans="1:22" x14ac:dyDescent="0.35">
      <c r="A208" s="1">
        <v>40</v>
      </c>
      <c r="B208" s="1">
        <v>14844</v>
      </c>
      <c r="C208" s="1">
        <v>15433</v>
      </c>
      <c r="D208" s="1">
        <v>15503</v>
      </c>
      <c r="E208" s="1">
        <v>15298</v>
      </c>
      <c r="F208" s="1">
        <v>15261</v>
      </c>
      <c r="G208" s="1">
        <v>15062</v>
      </c>
      <c r="H208" s="1">
        <v>15054</v>
      </c>
      <c r="I208" s="1">
        <v>15708</v>
      </c>
      <c r="J208" s="1">
        <v>15663</v>
      </c>
      <c r="K208" s="1">
        <v>15543</v>
      </c>
      <c r="L208" s="1">
        <v>15465</v>
      </c>
      <c r="M208" s="1">
        <v>15372</v>
      </c>
      <c r="N208" s="1">
        <v>15372</v>
      </c>
      <c r="O208" s="1">
        <v>15900</v>
      </c>
      <c r="P208" t="s">
        <v>25</v>
      </c>
      <c r="Q208" t="s">
        <v>464</v>
      </c>
      <c r="R208" s="1" t="s">
        <v>228</v>
      </c>
      <c r="S208" s="1">
        <f>IFERROR(AVERAGE(Urban[[#This Row],[‫دیسمبر‬‏]]:Urban[[#This Row],[‫اكتوبر‬‏]]),"")</f>
        <v>15354</v>
      </c>
      <c r="T208" s="1">
        <f>IFERROR(AVERAGE(Urban[[#This Row],[‫سبتمبر‬‏]]:Urban[[#This Row],[‫یولیو‬‏]]),"")</f>
        <v>15274.666666666666</v>
      </c>
      <c r="U208" s="1">
        <f>IFERROR(AVERAGE(Urban[[#This Row],[‫یونیو‬‏]]:Urban[[#This Row],[‫ابریل‬‏]]),"")</f>
        <v>15557</v>
      </c>
      <c r="V208" s="1">
        <f>IFERROR(AVERAGE(Urban[[#This Row],[‫مارس‬‏]]:Urban[[#This Row],[‫ینایر‬‏]]),"")</f>
        <v>15548</v>
      </c>
    </row>
    <row r="209" spans="1:22" x14ac:dyDescent="0.35">
      <c r="A209" s="1">
        <v>35</v>
      </c>
      <c r="B209" s="1">
        <v>26479</v>
      </c>
      <c r="C209" s="1">
        <v>27412</v>
      </c>
      <c r="D209" s="1">
        <v>27542</v>
      </c>
      <c r="E209" s="1">
        <v>27269</v>
      </c>
      <c r="F209" s="1">
        <v>27216</v>
      </c>
      <c r="G209" s="1">
        <v>27187</v>
      </c>
      <c r="H209" s="1">
        <v>27123</v>
      </c>
      <c r="I209" s="1">
        <v>28019</v>
      </c>
      <c r="J209" s="1">
        <v>27905</v>
      </c>
      <c r="K209" s="1">
        <v>27620</v>
      </c>
      <c r="L209" s="1">
        <v>27433</v>
      </c>
      <c r="M209" s="1">
        <v>26908</v>
      </c>
      <c r="N209" s="1">
        <v>26956</v>
      </c>
      <c r="O209" s="1">
        <v>27765</v>
      </c>
      <c r="P209" t="s">
        <v>25</v>
      </c>
      <c r="Q209" t="s">
        <v>465</v>
      </c>
      <c r="R209" s="1" t="s">
        <v>228</v>
      </c>
      <c r="S209" s="1">
        <f>IFERROR(AVERAGE(Urban[[#This Row],[‫دیسمبر‬‏]]:Urban[[#This Row],[‫اكتوبر‬‏]]),"")</f>
        <v>27342.333333333332</v>
      </c>
      <c r="T209" s="1">
        <f>IFERROR(AVERAGE(Urban[[#This Row],[‫سبتمبر‬‏]]:Urban[[#This Row],[‫یولیو‬‏]]),"")</f>
        <v>27443</v>
      </c>
      <c r="U209" s="1">
        <f>IFERROR(AVERAGE(Urban[[#This Row],[‫یونیو‬‏]]:Urban[[#This Row],[‫ابریل‬‏]]),"")</f>
        <v>27652.666666666668</v>
      </c>
      <c r="V209" s="1">
        <f>IFERROR(AVERAGE(Urban[[#This Row],[‫مارس‬‏]]:Urban[[#This Row],[‫ینایر‬‏]]),"")</f>
        <v>27209.666666666668</v>
      </c>
    </row>
    <row r="210" spans="1:22" x14ac:dyDescent="0.35">
      <c r="A210" s="1">
        <v>1597</v>
      </c>
      <c r="B210" s="1">
        <v>15385</v>
      </c>
      <c r="C210" s="1">
        <v>17843</v>
      </c>
      <c r="D210" s="1">
        <v>18388</v>
      </c>
      <c r="E210" s="1">
        <v>18304</v>
      </c>
      <c r="F210" s="1">
        <v>18378</v>
      </c>
      <c r="G210" s="1">
        <v>18351</v>
      </c>
      <c r="H210" s="1">
        <v>18261</v>
      </c>
      <c r="I210" s="1">
        <v>18126</v>
      </c>
      <c r="J210" s="1">
        <v>17735</v>
      </c>
      <c r="K210" s="1">
        <v>17587</v>
      </c>
      <c r="L210" s="1">
        <v>17481</v>
      </c>
      <c r="M210" s="1">
        <v>17316</v>
      </c>
      <c r="N210" s="1">
        <v>17140</v>
      </c>
      <c r="O210" s="1">
        <v>17049</v>
      </c>
      <c r="P210" t="s">
        <v>25</v>
      </c>
      <c r="Q210" t="s">
        <v>466</v>
      </c>
      <c r="R210" s="1" t="s">
        <v>228</v>
      </c>
      <c r="S210" s="1">
        <f>IFERROR(AVERAGE(Urban[[#This Row],[‫دیسمبر‬‏]]:Urban[[#This Row],[‫اكتوبر‬‏]]),"")</f>
        <v>18356.666666666668</v>
      </c>
      <c r="T210" s="1">
        <f>IFERROR(AVERAGE(Urban[[#This Row],[‫سبتمبر‬‏]]:Urban[[#This Row],[‫یولیو‬‏]]),"")</f>
        <v>18246</v>
      </c>
      <c r="U210" s="1">
        <f>IFERROR(AVERAGE(Urban[[#This Row],[‫یونیو‬‏]]:Urban[[#This Row],[‫ابریل‬‏]]),"")</f>
        <v>17601</v>
      </c>
      <c r="V210" s="1">
        <f>IFERROR(AVERAGE(Urban[[#This Row],[‫مارس‬‏]]:Urban[[#This Row],[‫ینایر‬‏]]),"")</f>
        <v>17168.333333333332</v>
      </c>
    </row>
    <row r="211" spans="1:22" x14ac:dyDescent="0.35">
      <c r="A211" s="1">
        <v>176</v>
      </c>
      <c r="B211" s="1">
        <v>2241</v>
      </c>
      <c r="C211" s="1">
        <v>2636</v>
      </c>
      <c r="D211" s="1">
        <v>2843</v>
      </c>
      <c r="E211" s="1">
        <v>2842</v>
      </c>
      <c r="F211" s="1">
        <v>2775</v>
      </c>
      <c r="G211" s="1">
        <v>2760</v>
      </c>
      <c r="H211" s="1">
        <v>2709</v>
      </c>
      <c r="I211" s="1">
        <v>2639</v>
      </c>
      <c r="J211" s="1">
        <v>2565</v>
      </c>
      <c r="K211" s="1">
        <v>2536</v>
      </c>
      <c r="L211" s="1">
        <v>2512</v>
      </c>
      <c r="M211" s="1">
        <v>2488</v>
      </c>
      <c r="N211" s="1">
        <v>2481</v>
      </c>
      <c r="O211" s="1">
        <v>2480</v>
      </c>
      <c r="P211" t="s">
        <v>467</v>
      </c>
      <c r="Q211" t="s">
        <v>468</v>
      </c>
      <c r="R211" s="1" t="s">
        <v>228</v>
      </c>
      <c r="S211" s="1">
        <f>IFERROR(AVERAGE(Urban[[#This Row],[‫دیسمبر‬‏]]:Urban[[#This Row],[‫اكتوبر‬‏]]),"")</f>
        <v>2820</v>
      </c>
      <c r="T211" s="1">
        <f>IFERROR(AVERAGE(Urban[[#This Row],[‫سبتمبر‬‏]]:Urban[[#This Row],[‫یولیو‬‏]]),"")</f>
        <v>2702.6666666666665</v>
      </c>
      <c r="U211" s="1">
        <f>IFERROR(AVERAGE(Urban[[#This Row],[‫یونیو‬‏]]:Urban[[#This Row],[‫ابریل‬‏]]),"")</f>
        <v>2537.6666666666665</v>
      </c>
      <c r="V211" s="1">
        <f>IFERROR(AVERAGE(Urban[[#This Row],[‫مارس‬‏]]:Urban[[#This Row],[‫ینایر‬‏]]),"")</f>
        <v>2483</v>
      </c>
    </row>
    <row r="212" spans="1:22" x14ac:dyDescent="0.35">
      <c r="A212" s="1">
        <v>1656</v>
      </c>
      <c r="B212" s="1">
        <v>10693</v>
      </c>
      <c r="C212" s="1">
        <v>12464</v>
      </c>
      <c r="D212" s="1">
        <v>12874</v>
      </c>
      <c r="E212" s="1">
        <v>12885</v>
      </c>
      <c r="F212" s="1">
        <v>12859</v>
      </c>
      <c r="G212" s="1">
        <v>12802</v>
      </c>
      <c r="H212" s="1">
        <v>12757</v>
      </c>
      <c r="I212" s="1">
        <v>12747</v>
      </c>
      <c r="J212" s="1">
        <v>12698</v>
      </c>
      <c r="K212" s="1">
        <v>12645</v>
      </c>
      <c r="L212" s="1">
        <v>12111</v>
      </c>
      <c r="M212" s="1">
        <v>11797</v>
      </c>
      <c r="N212" s="1">
        <v>11719</v>
      </c>
      <c r="O212" s="1">
        <v>11667</v>
      </c>
      <c r="P212" t="s">
        <v>25</v>
      </c>
      <c r="Q212" t="s">
        <v>469</v>
      </c>
      <c r="R212" s="1" t="s">
        <v>228</v>
      </c>
      <c r="S212" s="1">
        <f>IFERROR(AVERAGE(Urban[[#This Row],[‫دیسمبر‬‏]]:Urban[[#This Row],[‫اكتوبر‬‏]]),"")</f>
        <v>12872.666666666666</v>
      </c>
      <c r="T212" s="1">
        <f>IFERROR(AVERAGE(Urban[[#This Row],[‫سبتمبر‬‏]]:Urban[[#This Row],[‫یولیو‬‏]]),"")</f>
        <v>12768.666666666666</v>
      </c>
      <c r="U212" s="1">
        <f>IFERROR(AVERAGE(Urban[[#This Row],[‫یونیو‬‏]]:Urban[[#This Row],[‫ابریل‬‏]]),"")</f>
        <v>12484.666666666666</v>
      </c>
      <c r="V212" s="1">
        <f>IFERROR(AVERAGE(Urban[[#This Row],[‫مارس‬‏]]:Urban[[#This Row],[‫ینایر‬‏]]),"")</f>
        <v>11727.666666666666</v>
      </c>
    </row>
    <row r="213" spans="1:22" x14ac:dyDescent="0.35">
      <c r="A213" s="1">
        <v>1501</v>
      </c>
      <c r="B213" s="1">
        <v>7709</v>
      </c>
      <c r="C213" s="1">
        <v>8867</v>
      </c>
      <c r="D213" s="1">
        <v>9318</v>
      </c>
      <c r="E213" s="1">
        <v>9307</v>
      </c>
      <c r="F213" s="1">
        <v>9223</v>
      </c>
      <c r="G213" s="1">
        <v>9189</v>
      </c>
      <c r="H213" s="1">
        <v>9167</v>
      </c>
      <c r="I213" s="1">
        <v>9123</v>
      </c>
      <c r="J213" s="1">
        <v>9085</v>
      </c>
      <c r="K213" s="1">
        <v>8769</v>
      </c>
      <c r="L213" s="1">
        <v>8485</v>
      </c>
      <c r="M213" s="1">
        <v>8321</v>
      </c>
      <c r="N213" s="1">
        <v>8226</v>
      </c>
      <c r="O213" s="1">
        <v>8185</v>
      </c>
      <c r="P213" t="s">
        <v>25</v>
      </c>
      <c r="Q213" t="s">
        <v>470</v>
      </c>
      <c r="R213" s="1" t="s">
        <v>228</v>
      </c>
      <c r="S213" s="1">
        <f>IFERROR(AVERAGE(Urban[[#This Row],[‫دیسمبر‬‏]]:Urban[[#This Row],[‫اكتوبر‬‏]]),"")</f>
        <v>9282.6666666666661</v>
      </c>
      <c r="T213" s="1">
        <f>IFERROR(AVERAGE(Urban[[#This Row],[‫سبتمبر‬‏]]:Urban[[#This Row],[‫یولیو‬‏]]),"")</f>
        <v>9159.6666666666661</v>
      </c>
      <c r="U213" s="1">
        <f>IFERROR(AVERAGE(Urban[[#This Row],[‫یونیو‬‏]]:Urban[[#This Row],[‫ابریل‬‏]]),"")</f>
        <v>8779.6666666666661</v>
      </c>
      <c r="V213" s="1">
        <f>IFERROR(AVERAGE(Urban[[#This Row],[‫مارس‬‏]]:Urban[[#This Row],[‫ینایر‬‏]]),"")</f>
        <v>8244</v>
      </c>
    </row>
    <row r="214" spans="1:22" x14ac:dyDescent="0.35">
      <c r="A214" s="1">
        <v>1633</v>
      </c>
      <c r="B214" s="1">
        <v>822</v>
      </c>
      <c r="C214" s="1">
        <v>957</v>
      </c>
      <c r="D214" s="1">
        <v>997</v>
      </c>
      <c r="E214" s="1">
        <v>1000</v>
      </c>
      <c r="F214" s="1">
        <v>996</v>
      </c>
      <c r="G214" s="1">
        <v>990</v>
      </c>
      <c r="H214" s="1">
        <v>989</v>
      </c>
      <c r="I214" s="1">
        <v>984</v>
      </c>
      <c r="J214" s="1">
        <v>981</v>
      </c>
      <c r="K214" s="1">
        <v>967</v>
      </c>
      <c r="L214" s="1">
        <v>910</v>
      </c>
      <c r="M214" s="1">
        <v>888</v>
      </c>
      <c r="N214" s="1">
        <v>886</v>
      </c>
      <c r="O214" s="1">
        <v>890</v>
      </c>
      <c r="P214" t="s">
        <v>427</v>
      </c>
      <c r="Q214" t="s">
        <v>471</v>
      </c>
      <c r="R214" s="1" t="s">
        <v>228</v>
      </c>
      <c r="S214" s="1">
        <f>IFERROR(AVERAGE(Urban[[#This Row],[‫دیسمبر‬‏]]:Urban[[#This Row],[‫اكتوبر‬‏]]),"")</f>
        <v>997.66666666666663</v>
      </c>
      <c r="T214" s="1">
        <f>IFERROR(AVERAGE(Urban[[#This Row],[‫سبتمبر‬‏]]:Urban[[#This Row],[‫یولیو‬‏]]),"")</f>
        <v>987.66666666666663</v>
      </c>
      <c r="U214" s="1">
        <f>IFERROR(AVERAGE(Urban[[#This Row],[‫یونیو‬‏]]:Urban[[#This Row],[‫ابریل‬‏]]),"")</f>
        <v>952.66666666666663</v>
      </c>
      <c r="V214" s="1">
        <f>IFERROR(AVERAGE(Urban[[#This Row],[‫مارس‬‏]]:Urban[[#This Row],[‫ینایر‬‏]]),"")</f>
        <v>888</v>
      </c>
    </row>
    <row r="215" spans="1:22" x14ac:dyDescent="0.35">
      <c r="A215" s="1">
        <v>2992</v>
      </c>
      <c r="B215" s="1">
        <v>285</v>
      </c>
      <c r="C215" s="1">
        <v>370</v>
      </c>
      <c r="D215" s="1">
        <v>435</v>
      </c>
      <c r="E215" s="1">
        <v>414</v>
      </c>
      <c r="F215" s="1">
        <v>387</v>
      </c>
      <c r="G215" s="1">
        <v>382</v>
      </c>
      <c r="H215" s="1">
        <v>375</v>
      </c>
      <c r="I215" s="1">
        <v>365</v>
      </c>
      <c r="J215" s="1">
        <v>364</v>
      </c>
      <c r="K215" s="1">
        <v>354</v>
      </c>
      <c r="L215" s="1">
        <v>349</v>
      </c>
      <c r="M215" s="1">
        <v>340</v>
      </c>
      <c r="N215" s="1">
        <v>339</v>
      </c>
      <c r="O215" s="1">
        <v>333</v>
      </c>
      <c r="P215" t="s">
        <v>427</v>
      </c>
      <c r="Q215" t="s">
        <v>472</v>
      </c>
      <c r="R215" s="1" t="s">
        <v>228</v>
      </c>
      <c r="S215" s="1">
        <f>IFERROR(AVERAGE(Urban[[#This Row],[‫دیسمبر‬‏]]:Urban[[#This Row],[‫اكتوبر‬‏]]),"")</f>
        <v>412</v>
      </c>
      <c r="T215" s="1">
        <f>IFERROR(AVERAGE(Urban[[#This Row],[‫سبتمبر‬‏]]:Urban[[#This Row],[‫یولیو‬‏]]),"")</f>
        <v>374</v>
      </c>
      <c r="U215" s="1">
        <f>IFERROR(AVERAGE(Urban[[#This Row],[‫یونیو‬‏]]:Urban[[#This Row],[‫ابریل‬‏]]),"")</f>
        <v>355.66666666666669</v>
      </c>
      <c r="V215" s="1">
        <f>IFERROR(AVERAGE(Urban[[#This Row],[‫مارس‬‏]]:Urban[[#This Row],[‫ینایر‬‏]]),"")</f>
        <v>337.33333333333331</v>
      </c>
    </row>
    <row r="216" spans="1:22" x14ac:dyDescent="0.35">
      <c r="A216" s="1">
        <v>1157</v>
      </c>
      <c r="B216" s="1">
        <v>578</v>
      </c>
      <c r="C216" s="1">
        <v>644</v>
      </c>
      <c r="D216" s="1">
        <v>687</v>
      </c>
      <c r="E216" s="1">
        <v>681</v>
      </c>
      <c r="F216" s="1">
        <v>673</v>
      </c>
      <c r="G216" s="1">
        <v>664</v>
      </c>
      <c r="H216" s="1">
        <v>660</v>
      </c>
      <c r="I216" s="1">
        <v>640</v>
      </c>
      <c r="J216" s="1">
        <v>640</v>
      </c>
      <c r="K216" s="1">
        <v>633</v>
      </c>
      <c r="L216" s="1">
        <v>618</v>
      </c>
      <c r="M216" s="1">
        <v>614</v>
      </c>
      <c r="N216" s="1">
        <v>613</v>
      </c>
      <c r="O216" s="1">
        <v>611</v>
      </c>
      <c r="P216" t="s">
        <v>473</v>
      </c>
      <c r="Q216" t="s">
        <v>474</v>
      </c>
      <c r="R216" s="1" t="s">
        <v>228</v>
      </c>
      <c r="S216" s="1">
        <f>IFERROR(AVERAGE(Urban[[#This Row],[‫دیسمبر‬‏]]:Urban[[#This Row],[‫اكتوبر‬‏]]),"")</f>
        <v>680.33333333333337</v>
      </c>
      <c r="T216" s="1">
        <f>IFERROR(AVERAGE(Urban[[#This Row],[‫سبتمبر‬‏]]:Urban[[#This Row],[‫یولیو‬‏]]),"")</f>
        <v>654.66666666666663</v>
      </c>
      <c r="U216" s="1">
        <f>IFERROR(AVERAGE(Urban[[#This Row],[‫یونیو‬‏]]:Urban[[#This Row],[‫ابریل‬‏]]),"")</f>
        <v>630.33333333333337</v>
      </c>
      <c r="V216" s="1">
        <f>IFERROR(AVERAGE(Urban[[#This Row],[‫مارس‬‏]]:Urban[[#This Row],[‫ینایر‬‏]]),"")</f>
        <v>612.66666666666663</v>
      </c>
    </row>
    <row r="217" spans="1:22" x14ac:dyDescent="0.35">
      <c r="A217" s="1">
        <v>1443</v>
      </c>
      <c r="B217" s="1">
        <v>483</v>
      </c>
      <c r="C217" s="1">
        <v>553</v>
      </c>
      <c r="D217" s="1">
        <v>596</v>
      </c>
      <c r="E217" s="1">
        <v>577</v>
      </c>
      <c r="F217" s="1">
        <v>576</v>
      </c>
      <c r="G217" s="1">
        <v>565</v>
      </c>
      <c r="H217" s="1">
        <v>559</v>
      </c>
      <c r="I217" s="1">
        <v>549</v>
      </c>
      <c r="J217" s="1">
        <v>548</v>
      </c>
      <c r="K217" s="1">
        <v>544</v>
      </c>
      <c r="L217" s="1">
        <v>531</v>
      </c>
      <c r="M217" s="1">
        <v>533</v>
      </c>
      <c r="N217" s="1">
        <v>532</v>
      </c>
      <c r="O217" s="1">
        <v>529</v>
      </c>
      <c r="P217" t="s">
        <v>475</v>
      </c>
      <c r="Q217" t="s">
        <v>476</v>
      </c>
      <c r="R217" s="1" t="s">
        <v>228</v>
      </c>
      <c r="S217" s="1">
        <f>IFERROR(AVERAGE(Urban[[#This Row],[‫دیسمبر‬‏]]:Urban[[#This Row],[‫اكتوبر‬‏]]),"")</f>
        <v>583</v>
      </c>
      <c r="T217" s="1">
        <f>IFERROR(AVERAGE(Urban[[#This Row],[‫سبتمبر‬‏]]:Urban[[#This Row],[‫یولیو‬‏]]),"")</f>
        <v>557.66666666666663</v>
      </c>
      <c r="U217" s="1">
        <f>IFERROR(AVERAGE(Urban[[#This Row],[‫یونیو‬‏]]:Urban[[#This Row],[‫ابریل‬‏]]),"")</f>
        <v>541</v>
      </c>
      <c r="V217" s="1">
        <f>IFERROR(AVERAGE(Urban[[#This Row],[‫مارس‬‏]]:Urban[[#This Row],[‫ینایر‬‏]]),"")</f>
        <v>531.33333333333337</v>
      </c>
    </row>
    <row r="218" spans="1:22" x14ac:dyDescent="0.35">
      <c r="A218" s="1">
        <v>335</v>
      </c>
      <c r="B218" s="1">
        <v>1268</v>
      </c>
      <c r="C218" s="1">
        <v>1692</v>
      </c>
      <c r="D218" s="1">
        <v>1746</v>
      </c>
      <c r="E218" s="1">
        <v>1743</v>
      </c>
      <c r="F218" s="1">
        <v>1736</v>
      </c>
      <c r="G218" s="1">
        <v>1734</v>
      </c>
      <c r="H218" s="1">
        <v>1731</v>
      </c>
      <c r="I218" s="1">
        <v>1713</v>
      </c>
      <c r="J218" s="1">
        <v>1701</v>
      </c>
      <c r="K218" s="1">
        <v>1691</v>
      </c>
      <c r="L218" s="1">
        <v>1672</v>
      </c>
      <c r="M218" s="1">
        <v>1619</v>
      </c>
      <c r="N218" s="1">
        <v>1614</v>
      </c>
      <c r="O218" s="1">
        <v>1604</v>
      </c>
      <c r="Q218" t="s">
        <v>477</v>
      </c>
      <c r="R218" s="1" t="s">
        <v>228</v>
      </c>
      <c r="S218" s="1">
        <f>IFERROR(AVERAGE(Urban[[#This Row],[‫دیسمبر‬‏]]:Urban[[#This Row],[‫اكتوبر‬‏]]),"")</f>
        <v>1741.6666666666667</v>
      </c>
      <c r="T218" s="1">
        <f>IFERROR(AVERAGE(Urban[[#This Row],[‫سبتمبر‬‏]]:Urban[[#This Row],[‫یولیو‬‏]]),"")</f>
        <v>1726</v>
      </c>
      <c r="U218" s="1">
        <f>IFERROR(AVERAGE(Urban[[#This Row],[‫یونیو‬‏]]:Urban[[#This Row],[‫ابریل‬‏]]),"")</f>
        <v>1688</v>
      </c>
      <c r="V218" s="1">
        <f>IFERROR(AVERAGE(Urban[[#This Row],[‫مارس‬‏]]:Urban[[#This Row],[‫ینایر‬‏]]),"")</f>
        <v>1612.3333333333333</v>
      </c>
    </row>
    <row r="219" spans="1:22" x14ac:dyDescent="0.35">
      <c r="A219" s="1">
        <v>213</v>
      </c>
      <c r="B219" s="1">
        <v>2168</v>
      </c>
      <c r="C219" s="1">
        <v>2630</v>
      </c>
      <c r="D219" s="1">
        <v>2727</v>
      </c>
      <c r="E219" s="1">
        <v>2713</v>
      </c>
      <c r="F219" s="1">
        <v>2705</v>
      </c>
      <c r="G219" s="1">
        <v>2692</v>
      </c>
      <c r="H219" s="1">
        <v>2697</v>
      </c>
      <c r="I219" s="1">
        <v>2684</v>
      </c>
      <c r="J219" s="1">
        <v>2647</v>
      </c>
      <c r="K219" s="1">
        <v>2638</v>
      </c>
      <c r="L219" s="1">
        <v>2578</v>
      </c>
      <c r="M219" s="1">
        <v>2508</v>
      </c>
      <c r="N219" s="1">
        <v>2495</v>
      </c>
      <c r="O219" s="1">
        <v>2477</v>
      </c>
      <c r="Q219" t="s">
        <v>478</v>
      </c>
      <c r="R219" s="1" t="s">
        <v>228</v>
      </c>
      <c r="S219" s="1">
        <f>IFERROR(AVERAGE(Urban[[#This Row],[‫دیسمبر‬‏]]:Urban[[#This Row],[‫اكتوبر‬‏]]),"")</f>
        <v>2715</v>
      </c>
      <c r="T219" s="1">
        <f>IFERROR(AVERAGE(Urban[[#This Row],[‫سبتمبر‬‏]]:Urban[[#This Row],[‫یولیو‬‏]]),"")</f>
        <v>2691</v>
      </c>
      <c r="U219" s="1">
        <f>IFERROR(AVERAGE(Urban[[#This Row],[‫یونیو‬‏]]:Urban[[#This Row],[‫ابریل‬‏]]),"")</f>
        <v>2621</v>
      </c>
      <c r="V219" s="1">
        <f>IFERROR(AVERAGE(Urban[[#This Row],[‫مارس‬‏]]:Urban[[#This Row],[‫ینایر‬‏]]),"")</f>
        <v>2493.3333333333335</v>
      </c>
    </row>
    <row r="220" spans="1:22" x14ac:dyDescent="0.35">
      <c r="A220" s="1">
        <v>210</v>
      </c>
      <c r="B220" s="1">
        <v>746</v>
      </c>
      <c r="C220" s="1">
        <v>903</v>
      </c>
      <c r="D220" s="1">
        <v>935</v>
      </c>
      <c r="E220" s="1">
        <v>931</v>
      </c>
      <c r="F220" s="1">
        <v>927</v>
      </c>
      <c r="G220" s="1">
        <v>917</v>
      </c>
      <c r="H220" s="1">
        <v>912</v>
      </c>
      <c r="I220" s="1">
        <v>904</v>
      </c>
      <c r="J220" s="1">
        <v>912</v>
      </c>
      <c r="K220" s="1">
        <v>905</v>
      </c>
      <c r="L220" s="1">
        <v>882</v>
      </c>
      <c r="M220" s="1">
        <v>874</v>
      </c>
      <c r="N220" s="1">
        <v>872</v>
      </c>
      <c r="O220" s="1">
        <v>868</v>
      </c>
      <c r="P220" t="s">
        <v>479</v>
      </c>
      <c r="Q220" t="s">
        <v>480</v>
      </c>
      <c r="R220" s="1" t="s">
        <v>228</v>
      </c>
      <c r="S220" s="1">
        <f>IFERROR(AVERAGE(Urban[[#This Row],[‫دیسمبر‬‏]]:Urban[[#This Row],[‫اكتوبر‬‏]]),"")</f>
        <v>931</v>
      </c>
      <c r="T220" s="1">
        <f>IFERROR(AVERAGE(Urban[[#This Row],[‫سبتمبر‬‏]]:Urban[[#This Row],[‫یولیو‬‏]]),"")</f>
        <v>911</v>
      </c>
      <c r="U220" s="1">
        <f>IFERROR(AVERAGE(Urban[[#This Row],[‫یونیو‬‏]]:Urban[[#This Row],[‫ابریل‬‏]]),"")</f>
        <v>899.66666666666663</v>
      </c>
      <c r="V220" s="1">
        <f>IFERROR(AVERAGE(Urban[[#This Row],[‫مارس‬‏]]:Urban[[#This Row],[‫ینایر‬‏]]),"")</f>
        <v>871.33333333333337</v>
      </c>
    </row>
    <row r="221" spans="1:22" x14ac:dyDescent="0.35">
      <c r="A221" s="1">
        <v>216</v>
      </c>
      <c r="B221" s="1">
        <v>3343</v>
      </c>
      <c r="C221" s="1">
        <v>4066</v>
      </c>
      <c r="D221" s="1">
        <v>4356</v>
      </c>
      <c r="E221" s="1">
        <v>4356</v>
      </c>
      <c r="F221" s="1">
        <v>4335</v>
      </c>
      <c r="G221" s="1">
        <v>4302</v>
      </c>
      <c r="H221" s="1">
        <v>4309</v>
      </c>
      <c r="I221" s="1">
        <v>4269</v>
      </c>
      <c r="J221" s="1">
        <v>3923</v>
      </c>
      <c r="K221" s="1">
        <v>3923</v>
      </c>
      <c r="L221" s="1">
        <v>3798</v>
      </c>
      <c r="M221" s="1">
        <v>3798</v>
      </c>
      <c r="N221" s="1">
        <v>3798</v>
      </c>
      <c r="O221" s="1">
        <v>3619</v>
      </c>
      <c r="P221" t="s">
        <v>481</v>
      </c>
      <c r="Q221" t="s">
        <v>482</v>
      </c>
      <c r="R221" s="1" t="s">
        <v>228</v>
      </c>
      <c r="S221" s="1">
        <f>IFERROR(AVERAGE(Urban[[#This Row],[‫دیسمبر‬‏]]:Urban[[#This Row],[‫اكتوبر‬‏]]),"")</f>
        <v>4349</v>
      </c>
      <c r="T221" s="1">
        <f>IFERROR(AVERAGE(Urban[[#This Row],[‫سبتمبر‬‏]]:Urban[[#This Row],[‫یولیو‬‏]]),"")</f>
        <v>4293.333333333333</v>
      </c>
      <c r="U221" s="1">
        <f>IFERROR(AVERAGE(Urban[[#This Row],[‫یونیو‬‏]]:Urban[[#This Row],[‫ابریل‬‏]]),"")</f>
        <v>3881.3333333333335</v>
      </c>
      <c r="V221" s="1">
        <f>IFERROR(AVERAGE(Urban[[#This Row],[‫مارس‬‏]]:Urban[[#This Row],[‫ینایر‬‏]]),"")</f>
        <v>3738.3333333333335</v>
      </c>
    </row>
    <row r="222" spans="1:22" x14ac:dyDescent="0.35">
      <c r="A222" s="1">
        <v>39</v>
      </c>
      <c r="B222" s="1">
        <v>1048</v>
      </c>
      <c r="C222" s="1">
        <v>1089</v>
      </c>
      <c r="D222" s="1">
        <v>1117</v>
      </c>
      <c r="E222" s="1">
        <v>1109</v>
      </c>
      <c r="F222" s="1">
        <v>1104</v>
      </c>
      <c r="G222" s="1">
        <v>1099</v>
      </c>
      <c r="H222" s="1">
        <v>1090</v>
      </c>
      <c r="I222" s="1">
        <v>1090</v>
      </c>
      <c r="J222" s="1">
        <v>1092</v>
      </c>
      <c r="K222" s="1">
        <v>1091</v>
      </c>
      <c r="L222" s="1">
        <v>1077</v>
      </c>
      <c r="M222" s="1">
        <v>1074</v>
      </c>
      <c r="N222" s="1">
        <v>1069</v>
      </c>
      <c r="O222" s="1">
        <v>1055</v>
      </c>
      <c r="P222" t="s">
        <v>483</v>
      </c>
      <c r="Q222" t="s">
        <v>484</v>
      </c>
      <c r="R222" s="1" t="s">
        <v>228</v>
      </c>
      <c r="S222" s="1">
        <f>IFERROR(AVERAGE(Urban[[#This Row],[‫دیسمبر‬‏]]:Urban[[#This Row],[‫اكتوبر‬‏]]),"")</f>
        <v>1110</v>
      </c>
      <c r="T222" s="1">
        <f>IFERROR(AVERAGE(Urban[[#This Row],[‫سبتمبر‬‏]]:Urban[[#This Row],[‫یولیو‬‏]]),"")</f>
        <v>1093</v>
      </c>
      <c r="U222" s="1">
        <f>IFERROR(AVERAGE(Urban[[#This Row],[‫یونیو‬‏]]:Urban[[#This Row],[‫ابریل‬‏]]),"")</f>
        <v>1086.6666666666667</v>
      </c>
      <c r="V222" s="1">
        <f>IFERROR(AVERAGE(Urban[[#This Row],[‫مارس‬‏]]:Urban[[#This Row],[‫ینایر‬‏]]),"")</f>
        <v>1066</v>
      </c>
    </row>
    <row r="223" spans="1:22" x14ac:dyDescent="0.35">
      <c r="A223" s="1">
        <v>100</v>
      </c>
      <c r="B223" s="1">
        <v>2981</v>
      </c>
      <c r="C223" s="1">
        <v>3279</v>
      </c>
      <c r="D223" s="1">
        <v>3401</v>
      </c>
      <c r="E223" s="1">
        <v>3379</v>
      </c>
      <c r="F223" s="1">
        <v>3374</v>
      </c>
      <c r="G223" s="1">
        <v>3342</v>
      </c>
      <c r="H223" s="1">
        <v>3309</v>
      </c>
      <c r="I223" s="1">
        <v>3298</v>
      </c>
      <c r="J223" s="1">
        <v>3274</v>
      </c>
      <c r="K223" s="1">
        <v>3254</v>
      </c>
      <c r="L223" s="1">
        <v>3201</v>
      </c>
      <c r="M223" s="1">
        <v>3193</v>
      </c>
      <c r="N223" s="1">
        <v>3174</v>
      </c>
      <c r="O223" s="1">
        <v>3151</v>
      </c>
      <c r="P223" t="s">
        <v>420</v>
      </c>
      <c r="Q223" t="s">
        <v>485</v>
      </c>
      <c r="R223" s="1" t="s">
        <v>228</v>
      </c>
      <c r="S223" s="1">
        <f>IFERROR(AVERAGE(Urban[[#This Row],[‫دیسمبر‬‏]]:Urban[[#This Row],[‫اكتوبر‬‏]]),"")</f>
        <v>3384.6666666666665</v>
      </c>
      <c r="T223" s="1">
        <f>IFERROR(AVERAGE(Urban[[#This Row],[‫سبتمبر‬‏]]:Urban[[#This Row],[‫یولیو‬‏]]),"")</f>
        <v>3316.3333333333335</v>
      </c>
      <c r="U223" s="1">
        <f>IFERROR(AVERAGE(Urban[[#This Row],[‫یونیو‬‏]]:Urban[[#This Row],[‫ابریل‬‏]]),"")</f>
        <v>3243</v>
      </c>
      <c r="V223" s="1">
        <f>IFERROR(AVERAGE(Urban[[#This Row],[‫مارس‬‏]]:Urban[[#This Row],[‫ینایر‬‏]]),"")</f>
        <v>3172.6666666666665</v>
      </c>
    </row>
    <row r="224" spans="1:22" x14ac:dyDescent="0.35">
      <c r="A224" s="1">
        <v>154</v>
      </c>
      <c r="B224" s="1">
        <v>5786</v>
      </c>
      <c r="C224" s="1">
        <v>6680</v>
      </c>
      <c r="D224" s="1">
        <v>7232</v>
      </c>
      <c r="E224" s="1">
        <v>7155</v>
      </c>
      <c r="F224" s="1">
        <v>7156</v>
      </c>
      <c r="G224" s="1">
        <v>7014</v>
      </c>
      <c r="H224" s="1">
        <v>6925</v>
      </c>
      <c r="I224" s="1">
        <v>6742</v>
      </c>
      <c r="J224" s="1">
        <v>6708</v>
      </c>
      <c r="K224" s="1">
        <v>6497</v>
      </c>
      <c r="L224" s="1">
        <v>6336</v>
      </c>
      <c r="M224" s="1">
        <v>6186</v>
      </c>
      <c r="N224" s="1">
        <v>6161</v>
      </c>
      <c r="O224" s="1">
        <v>6045</v>
      </c>
      <c r="P224" t="s">
        <v>409</v>
      </c>
      <c r="Q224" t="s">
        <v>486</v>
      </c>
      <c r="R224" s="1" t="s">
        <v>228</v>
      </c>
      <c r="S224" s="1">
        <f>IFERROR(AVERAGE(Urban[[#This Row],[‫دیسمبر‬‏]]:Urban[[#This Row],[‫اكتوبر‬‏]]),"")</f>
        <v>7181</v>
      </c>
      <c r="T224" s="1">
        <f>IFERROR(AVERAGE(Urban[[#This Row],[‫سبتمبر‬‏]]:Urban[[#This Row],[‫یولیو‬‏]]),"")</f>
        <v>6893.666666666667</v>
      </c>
      <c r="U224" s="1">
        <f>IFERROR(AVERAGE(Urban[[#This Row],[‫یونیو‬‏]]:Urban[[#This Row],[‫ابریل‬‏]]),"")</f>
        <v>6513.666666666667</v>
      </c>
      <c r="V224" s="1">
        <f>IFERROR(AVERAGE(Urban[[#This Row],[‫مارس‬‏]]:Urban[[#This Row],[‫ینایر‬‏]]),"")</f>
        <v>6130.666666666667</v>
      </c>
    </row>
    <row r="225" spans="1:22" x14ac:dyDescent="0.35">
      <c r="A225" s="1">
        <v>124</v>
      </c>
      <c r="B225" s="1">
        <v>1020</v>
      </c>
      <c r="C225" s="1">
        <v>1147</v>
      </c>
      <c r="D225" s="1">
        <v>1201</v>
      </c>
      <c r="E225" s="1">
        <v>1196</v>
      </c>
      <c r="F225" s="1">
        <v>1190</v>
      </c>
      <c r="G225" s="1">
        <v>1187</v>
      </c>
      <c r="H225" s="1">
        <v>1183</v>
      </c>
      <c r="I225" s="1">
        <v>1163</v>
      </c>
      <c r="J225" s="1">
        <v>1156</v>
      </c>
      <c r="K225" s="1">
        <v>1119</v>
      </c>
      <c r="L225" s="1">
        <v>1093</v>
      </c>
      <c r="M225" s="1">
        <v>1096</v>
      </c>
      <c r="N225" s="1">
        <v>1093</v>
      </c>
      <c r="O225" s="1">
        <v>1088</v>
      </c>
      <c r="P225" t="s">
        <v>487</v>
      </c>
      <c r="Q225" t="s">
        <v>488</v>
      </c>
      <c r="R225" s="1" t="s">
        <v>228</v>
      </c>
      <c r="S225" s="1">
        <f>IFERROR(AVERAGE(Urban[[#This Row],[‫دیسمبر‬‏]]:Urban[[#This Row],[‫اكتوبر‬‏]]),"")</f>
        <v>1195.6666666666667</v>
      </c>
      <c r="T225" s="1">
        <f>IFERROR(AVERAGE(Urban[[#This Row],[‫سبتمبر‬‏]]:Urban[[#This Row],[‫یولیو‬‏]]),"")</f>
        <v>1177.6666666666667</v>
      </c>
      <c r="U225" s="1">
        <f>IFERROR(AVERAGE(Urban[[#This Row],[‫یونیو‬‏]]:Urban[[#This Row],[‫ابریل‬‏]]),"")</f>
        <v>1122.6666666666667</v>
      </c>
      <c r="V225" s="1">
        <f>IFERROR(AVERAGE(Urban[[#This Row],[‫مارس‬‏]]:Urban[[#This Row],[‫ینایر‬‏]]),"")</f>
        <v>1092.3333333333333</v>
      </c>
    </row>
    <row r="226" spans="1:22" x14ac:dyDescent="0.35">
      <c r="A226" s="1">
        <v>108</v>
      </c>
      <c r="B226" s="1">
        <v>4433</v>
      </c>
      <c r="C226" s="1">
        <v>4914</v>
      </c>
      <c r="D226" s="1">
        <v>5090</v>
      </c>
      <c r="E226" s="1">
        <v>5079</v>
      </c>
      <c r="F226" s="1">
        <v>5046</v>
      </c>
      <c r="G226" s="1">
        <v>5037</v>
      </c>
      <c r="H226" s="1">
        <v>5036</v>
      </c>
      <c r="I226" s="1">
        <v>5026</v>
      </c>
      <c r="J226" s="1">
        <v>4984</v>
      </c>
      <c r="K226" s="1">
        <v>4861</v>
      </c>
      <c r="L226" s="1">
        <v>4711</v>
      </c>
      <c r="M226" s="1">
        <v>4709</v>
      </c>
      <c r="N226" s="1">
        <v>4707</v>
      </c>
      <c r="O226" s="1">
        <v>4681</v>
      </c>
      <c r="P226" t="s">
        <v>489</v>
      </c>
      <c r="Q226" t="s">
        <v>490</v>
      </c>
      <c r="R226" s="1" t="s">
        <v>228</v>
      </c>
      <c r="S226" s="1">
        <f>IFERROR(AVERAGE(Urban[[#This Row],[‫دیسمبر‬‏]]:Urban[[#This Row],[‫اكتوبر‬‏]]),"")</f>
        <v>5071.666666666667</v>
      </c>
      <c r="T226" s="1">
        <f>IFERROR(AVERAGE(Urban[[#This Row],[‫سبتمبر‬‏]]:Urban[[#This Row],[‫یولیو‬‏]]),"")</f>
        <v>5033</v>
      </c>
      <c r="U226" s="1">
        <f>IFERROR(AVERAGE(Urban[[#This Row],[‫یونیو‬‏]]:Urban[[#This Row],[‫ابریل‬‏]]),"")</f>
        <v>4852</v>
      </c>
      <c r="V226" s="1">
        <f>IFERROR(AVERAGE(Urban[[#This Row],[‫مارس‬‏]]:Urban[[#This Row],[‫ینایر‬‏]]),"")</f>
        <v>4699</v>
      </c>
    </row>
    <row r="227" spans="1:22" x14ac:dyDescent="0.35">
      <c r="A227" s="1">
        <v>122</v>
      </c>
      <c r="B227" s="1">
        <v>1282</v>
      </c>
      <c r="C227" s="1">
        <v>1439</v>
      </c>
      <c r="D227" s="1">
        <v>1445</v>
      </c>
      <c r="E227" s="1">
        <v>1439</v>
      </c>
      <c r="F227" s="1">
        <v>1442</v>
      </c>
      <c r="G227" s="1">
        <v>1444</v>
      </c>
      <c r="H227" s="1">
        <v>1443</v>
      </c>
      <c r="I227" s="1">
        <v>1448</v>
      </c>
      <c r="J227" s="1">
        <v>1447</v>
      </c>
      <c r="K227" s="1">
        <v>1450</v>
      </c>
      <c r="L227" s="1">
        <v>1437</v>
      </c>
      <c r="M227" s="1">
        <v>1427</v>
      </c>
      <c r="N227" s="1">
        <v>1423</v>
      </c>
      <c r="O227" s="1">
        <v>1417</v>
      </c>
      <c r="P227" t="s">
        <v>491</v>
      </c>
      <c r="Q227" t="s">
        <v>492</v>
      </c>
      <c r="R227" s="1" t="s">
        <v>228</v>
      </c>
      <c r="S227" s="1">
        <f>IFERROR(AVERAGE(Urban[[#This Row],[‫دیسمبر‬‏]]:Urban[[#This Row],[‫اكتوبر‬‏]]),"")</f>
        <v>1442</v>
      </c>
      <c r="T227" s="1">
        <f>IFERROR(AVERAGE(Urban[[#This Row],[‫سبتمبر‬‏]]:Urban[[#This Row],[‫یولیو‬‏]]),"")</f>
        <v>1445</v>
      </c>
      <c r="U227" s="1">
        <f>IFERROR(AVERAGE(Urban[[#This Row],[‫یونیو‬‏]]:Urban[[#This Row],[‫ابریل‬‏]]),"")</f>
        <v>1444.6666666666667</v>
      </c>
      <c r="V227" s="1">
        <f>IFERROR(AVERAGE(Urban[[#This Row],[‫مارس‬‏]]:Urban[[#This Row],[‫ینایر‬‏]]),"")</f>
        <v>1422.3333333333333</v>
      </c>
    </row>
    <row r="228" spans="1:22" x14ac:dyDescent="0.35">
      <c r="A228" s="1">
        <v>119</v>
      </c>
      <c r="B228" s="1">
        <v>5608</v>
      </c>
      <c r="C228" s="1">
        <v>6276</v>
      </c>
      <c r="D228" s="1">
        <v>6426</v>
      </c>
      <c r="E228" s="1">
        <v>6490</v>
      </c>
      <c r="F228" s="1">
        <v>6421</v>
      </c>
      <c r="G228" s="1">
        <v>6414</v>
      </c>
      <c r="H228" s="1">
        <v>6343</v>
      </c>
      <c r="I228" s="1">
        <v>6285</v>
      </c>
      <c r="J228" s="1">
        <v>6272</v>
      </c>
      <c r="K228" s="1">
        <v>6225</v>
      </c>
      <c r="L228" s="1">
        <v>6177</v>
      </c>
      <c r="M228" s="1">
        <v>6109</v>
      </c>
      <c r="N228" s="1">
        <v>6089</v>
      </c>
      <c r="O228" s="1">
        <v>6060</v>
      </c>
      <c r="P228" t="s">
        <v>493</v>
      </c>
      <c r="Q228" t="s">
        <v>494</v>
      </c>
      <c r="R228" s="1" t="s">
        <v>228</v>
      </c>
      <c r="S228" s="1">
        <f>IFERROR(AVERAGE(Urban[[#This Row],[‫دیسمبر‬‏]]:Urban[[#This Row],[‫اكتوبر‬‏]]),"")</f>
        <v>6445.666666666667</v>
      </c>
      <c r="T228" s="1">
        <f>IFERROR(AVERAGE(Urban[[#This Row],[‫سبتمبر‬‏]]:Urban[[#This Row],[‫یولیو‬‏]]),"")</f>
        <v>6347.333333333333</v>
      </c>
      <c r="U228" s="1">
        <f>IFERROR(AVERAGE(Urban[[#This Row],[‫یونیو‬‏]]:Urban[[#This Row],[‫ابریل‬‏]]),"")</f>
        <v>6224.666666666667</v>
      </c>
      <c r="V228" s="1">
        <f>IFERROR(AVERAGE(Urban[[#This Row],[‫مارس‬‏]]:Urban[[#This Row],[‫ینایر‬‏]]),"")</f>
        <v>6086</v>
      </c>
    </row>
    <row r="229" spans="1:22" x14ac:dyDescent="0.35">
      <c r="A229" s="1">
        <v>179</v>
      </c>
      <c r="B229" s="1">
        <v>2975</v>
      </c>
      <c r="C229" s="1">
        <v>3508</v>
      </c>
      <c r="D229" s="1">
        <v>3696</v>
      </c>
      <c r="E229" s="1">
        <v>3655</v>
      </c>
      <c r="F229" s="1">
        <v>3644</v>
      </c>
      <c r="G229" s="1">
        <v>3589</v>
      </c>
      <c r="H229" s="1">
        <v>3561</v>
      </c>
      <c r="I229" s="1">
        <v>3564</v>
      </c>
      <c r="J229" s="1">
        <v>3528</v>
      </c>
      <c r="K229" s="1">
        <v>3471</v>
      </c>
      <c r="L229" s="1">
        <v>3423</v>
      </c>
      <c r="M229" s="1">
        <v>3345</v>
      </c>
      <c r="N229" s="1">
        <v>3332</v>
      </c>
      <c r="O229" s="1">
        <v>3290</v>
      </c>
      <c r="P229" t="s">
        <v>495</v>
      </c>
      <c r="Q229" t="s">
        <v>496</v>
      </c>
      <c r="R229" s="1" t="s">
        <v>228</v>
      </c>
      <c r="S229" s="1">
        <f>IFERROR(AVERAGE(Urban[[#This Row],[‫دیسمبر‬‏]]:Urban[[#This Row],[‫اكتوبر‬‏]]),"")</f>
        <v>3665</v>
      </c>
      <c r="T229" s="1">
        <f>IFERROR(AVERAGE(Urban[[#This Row],[‫سبتمبر‬‏]]:Urban[[#This Row],[‫یولیو‬‏]]),"")</f>
        <v>3571.3333333333335</v>
      </c>
      <c r="U229" s="1">
        <f>IFERROR(AVERAGE(Urban[[#This Row],[‫یونیو‬‏]]:Urban[[#This Row],[‫ابریل‬‏]]),"")</f>
        <v>3474</v>
      </c>
      <c r="V229" s="1">
        <f>IFERROR(AVERAGE(Urban[[#This Row],[‫مارس‬‏]]:Urban[[#This Row],[‫ینایر‬‏]]),"")</f>
        <v>3322.3333333333335</v>
      </c>
    </row>
    <row r="230" spans="1:22" x14ac:dyDescent="0.35">
      <c r="A230" s="1">
        <v>139</v>
      </c>
      <c r="B230" s="1">
        <v>3751</v>
      </c>
      <c r="C230" s="1">
        <v>4272</v>
      </c>
      <c r="D230" s="1">
        <v>4474</v>
      </c>
      <c r="E230" s="1">
        <v>4455</v>
      </c>
      <c r="F230" s="1">
        <v>4408</v>
      </c>
      <c r="G230" s="1">
        <v>4369</v>
      </c>
      <c r="H230" s="1">
        <v>4362</v>
      </c>
      <c r="I230" s="1">
        <v>4350</v>
      </c>
      <c r="J230" s="1">
        <v>4306</v>
      </c>
      <c r="K230" s="1">
        <v>4258</v>
      </c>
      <c r="L230" s="1">
        <v>4137</v>
      </c>
      <c r="M230" s="1">
        <v>4080</v>
      </c>
      <c r="N230" s="1">
        <v>4076</v>
      </c>
      <c r="O230" s="1">
        <v>3994</v>
      </c>
      <c r="P230" t="s">
        <v>442</v>
      </c>
      <c r="Q230" t="s">
        <v>497</v>
      </c>
      <c r="R230" s="1" t="s">
        <v>228</v>
      </c>
      <c r="S230" s="1">
        <f>IFERROR(AVERAGE(Urban[[#This Row],[‫دیسمبر‬‏]]:Urban[[#This Row],[‫اكتوبر‬‏]]),"")</f>
        <v>4445.666666666667</v>
      </c>
      <c r="T230" s="1">
        <f>IFERROR(AVERAGE(Urban[[#This Row],[‫سبتمبر‬‏]]:Urban[[#This Row],[‫یولیو‬‏]]),"")</f>
        <v>4360.333333333333</v>
      </c>
      <c r="U230" s="1">
        <f>IFERROR(AVERAGE(Urban[[#This Row],[‫یونیو‬‏]]:Urban[[#This Row],[‫ابریل‬‏]]),"")</f>
        <v>4233.666666666667</v>
      </c>
      <c r="V230" s="1">
        <f>IFERROR(AVERAGE(Urban[[#This Row],[‫مارس‬‏]]:Urban[[#This Row],[‫ینایر‬‏]]),"")</f>
        <v>4050</v>
      </c>
    </row>
    <row r="231" spans="1:22" x14ac:dyDescent="0.35">
      <c r="A231" s="1">
        <v>82</v>
      </c>
      <c r="B231" s="1">
        <v>4585</v>
      </c>
      <c r="C231" s="1">
        <v>4959</v>
      </c>
      <c r="D231" s="1">
        <v>5236</v>
      </c>
      <c r="E231" s="1">
        <v>5718</v>
      </c>
      <c r="F231" s="1">
        <v>5246</v>
      </c>
      <c r="G231" s="1">
        <v>5182</v>
      </c>
      <c r="H231" s="1">
        <v>5193</v>
      </c>
      <c r="I231" s="1">
        <v>5260</v>
      </c>
      <c r="J231" s="1">
        <v>4572</v>
      </c>
      <c r="K231" s="1">
        <v>4578</v>
      </c>
      <c r="L231" s="1">
        <v>4580</v>
      </c>
      <c r="M231" s="1">
        <v>4633</v>
      </c>
      <c r="N231" s="1">
        <v>4652</v>
      </c>
      <c r="O231" s="1">
        <v>4652</v>
      </c>
      <c r="P231" t="s">
        <v>498</v>
      </c>
      <c r="Q231" t="s">
        <v>499</v>
      </c>
      <c r="R231" s="1" t="s">
        <v>228</v>
      </c>
      <c r="S231" s="1">
        <f>IFERROR(AVERAGE(Urban[[#This Row],[‫دیسمبر‬‏]]:Urban[[#This Row],[‫اكتوبر‬‏]]),"")</f>
        <v>5400</v>
      </c>
      <c r="T231" s="1">
        <f>IFERROR(AVERAGE(Urban[[#This Row],[‫سبتمبر‬‏]]:Urban[[#This Row],[‫یولیو‬‏]]),"")</f>
        <v>5211.666666666667</v>
      </c>
      <c r="U231" s="1">
        <f>IFERROR(AVERAGE(Urban[[#This Row],[‫یونیو‬‏]]:Urban[[#This Row],[‫ابریل‬‏]]),"")</f>
        <v>4576.666666666667</v>
      </c>
      <c r="V231" s="1">
        <f>IFERROR(AVERAGE(Urban[[#This Row],[‫مارس‬‏]]:Urban[[#This Row],[‫ینایر‬‏]]),"")</f>
        <v>4645.666666666667</v>
      </c>
    </row>
    <row r="232" spans="1:22" x14ac:dyDescent="0.35">
      <c r="A232" s="1">
        <v>140</v>
      </c>
      <c r="B232" s="1">
        <v>5088</v>
      </c>
      <c r="C232" s="1">
        <v>5799</v>
      </c>
      <c r="D232" s="1">
        <v>5676</v>
      </c>
      <c r="E232" s="1">
        <v>10099</v>
      </c>
      <c r="F232" s="1">
        <v>5684</v>
      </c>
      <c r="G232" s="1">
        <v>5633</v>
      </c>
      <c r="H232" s="1">
        <v>5634</v>
      </c>
      <c r="I232" s="1">
        <v>5657</v>
      </c>
      <c r="J232" s="1">
        <v>5147</v>
      </c>
      <c r="K232" s="1">
        <v>5182</v>
      </c>
      <c r="L232" s="1">
        <v>5186</v>
      </c>
      <c r="M232" s="1">
        <v>5175</v>
      </c>
      <c r="N232" s="1">
        <v>5249</v>
      </c>
      <c r="O232" s="1">
        <v>5261</v>
      </c>
      <c r="P232" t="s">
        <v>498</v>
      </c>
      <c r="Q232" t="s">
        <v>500</v>
      </c>
      <c r="R232" s="1" t="s">
        <v>228</v>
      </c>
      <c r="S232" s="1">
        <f>IFERROR(AVERAGE(Urban[[#This Row],[‫دیسمبر‬‏]]:Urban[[#This Row],[‫اكتوبر‬‏]]),"")</f>
        <v>7153</v>
      </c>
      <c r="T232" s="1">
        <f>IFERROR(AVERAGE(Urban[[#This Row],[‫سبتمبر‬‏]]:Urban[[#This Row],[‫یولیو‬‏]]),"")</f>
        <v>5641.333333333333</v>
      </c>
      <c r="U232" s="1">
        <f>IFERROR(AVERAGE(Urban[[#This Row],[‫یونیو‬‏]]:Urban[[#This Row],[‫ابریل‬‏]]),"")</f>
        <v>5171.666666666667</v>
      </c>
      <c r="V232" s="1">
        <f>IFERROR(AVERAGE(Urban[[#This Row],[‫مارس‬‏]]:Urban[[#This Row],[‫ینایر‬‏]]),"")</f>
        <v>5228.333333333333</v>
      </c>
    </row>
    <row r="233" spans="1:22" x14ac:dyDescent="0.35">
      <c r="A233" s="1">
        <v>146</v>
      </c>
      <c r="B233" s="1">
        <v>8812</v>
      </c>
      <c r="C233" s="1">
        <v>10096</v>
      </c>
      <c r="D233" s="1">
        <v>10596</v>
      </c>
      <c r="E233" s="1">
        <v>10621</v>
      </c>
      <c r="F233" s="1">
        <v>10543</v>
      </c>
      <c r="G233" s="1">
        <v>10492</v>
      </c>
      <c r="H233" s="1">
        <v>10433</v>
      </c>
      <c r="I233" s="1">
        <v>10374</v>
      </c>
      <c r="J233" s="1">
        <v>9763</v>
      </c>
      <c r="K233" s="1">
        <v>9746</v>
      </c>
      <c r="L233" s="1">
        <v>9713</v>
      </c>
      <c r="M233" s="1">
        <v>9695</v>
      </c>
      <c r="N233" s="1">
        <v>9701</v>
      </c>
      <c r="O233" s="1">
        <v>9470</v>
      </c>
      <c r="P233" t="s">
        <v>498</v>
      </c>
      <c r="Q233" t="s">
        <v>501</v>
      </c>
      <c r="R233" s="1" t="s">
        <v>228</v>
      </c>
      <c r="S233" s="1">
        <f>IFERROR(AVERAGE(Urban[[#This Row],[‫دیسمبر‬‏]]:Urban[[#This Row],[‫اكتوبر‬‏]]),"")</f>
        <v>10586.666666666666</v>
      </c>
      <c r="T233" s="1">
        <f>IFERROR(AVERAGE(Urban[[#This Row],[‫سبتمبر‬‏]]:Urban[[#This Row],[‫یولیو‬‏]]),"")</f>
        <v>10433</v>
      </c>
      <c r="U233" s="1">
        <f>IFERROR(AVERAGE(Urban[[#This Row],[‫یونیو‬‏]]:Urban[[#This Row],[‫ابریل‬‏]]),"")</f>
        <v>9740.6666666666661</v>
      </c>
      <c r="V233" s="1">
        <f>IFERROR(AVERAGE(Urban[[#This Row],[‫مارس‬‏]]:Urban[[#This Row],[‫ینایر‬‏]]),"")</f>
        <v>9622</v>
      </c>
    </row>
    <row r="234" spans="1:22" x14ac:dyDescent="0.35">
      <c r="A234" s="1">
        <v>124</v>
      </c>
      <c r="B234" s="1">
        <v>7080</v>
      </c>
      <c r="C234" s="1">
        <v>7961</v>
      </c>
      <c r="D234" s="1">
        <v>8344</v>
      </c>
      <c r="E234" s="1">
        <v>8350</v>
      </c>
      <c r="F234" s="1">
        <v>8291</v>
      </c>
      <c r="G234" s="1">
        <v>8233</v>
      </c>
      <c r="H234" s="1">
        <v>8195</v>
      </c>
      <c r="I234" s="1">
        <v>8188</v>
      </c>
      <c r="J234" s="1">
        <v>7713</v>
      </c>
      <c r="K234" s="1">
        <v>7691</v>
      </c>
      <c r="L234" s="1">
        <v>7685</v>
      </c>
      <c r="M234" s="1">
        <v>7669</v>
      </c>
      <c r="N234" s="1">
        <v>7671</v>
      </c>
      <c r="O234" s="1">
        <v>7506</v>
      </c>
      <c r="P234" t="s">
        <v>498</v>
      </c>
      <c r="Q234" t="s">
        <v>502</v>
      </c>
      <c r="R234" s="1" t="s">
        <v>228</v>
      </c>
      <c r="S234" s="1">
        <f>IFERROR(AVERAGE(Urban[[#This Row],[‫دیسمبر‬‏]]:Urban[[#This Row],[‫اكتوبر‬‏]]),"")</f>
        <v>8328.3333333333339</v>
      </c>
      <c r="T234" s="1">
        <f>IFERROR(AVERAGE(Urban[[#This Row],[‫سبتمبر‬‏]]:Urban[[#This Row],[‫یولیو‬‏]]),"")</f>
        <v>8205.3333333333339</v>
      </c>
      <c r="U234" s="1">
        <f>IFERROR(AVERAGE(Urban[[#This Row],[‫یونیو‬‏]]:Urban[[#This Row],[‫ابریل‬‏]]),"")</f>
        <v>7696.333333333333</v>
      </c>
      <c r="V234" s="1">
        <f>IFERROR(AVERAGE(Urban[[#This Row],[‫مارس‬‏]]:Urban[[#This Row],[‫ینایر‬‏]]),"")</f>
        <v>7615.333333333333</v>
      </c>
    </row>
    <row r="235" spans="1:22" x14ac:dyDescent="0.35">
      <c r="A235" s="1">
        <v>148</v>
      </c>
      <c r="B235" s="1">
        <v>3671</v>
      </c>
      <c r="C235" s="1">
        <v>4214</v>
      </c>
      <c r="D235" s="1">
        <v>4484</v>
      </c>
      <c r="E235" s="1">
        <v>4474</v>
      </c>
      <c r="F235" s="1">
        <v>4437</v>
      </c>
      <c r="G235" s="1">
        <v>4386</v>
      </c>
      <c r="H235" s="1">
        <v>4369</v>
      </c>
      <c r="I235" s="1">
        <v>4352</v>
      </c>
      <c r="J235" s="1">
        <v>4031</v>
      </c>
      <c r="K235" s="1">
        <v>4031</v>
      </c>
      <c r="L235" s="1">
        <v>4045</v>
      </c>
      <c r="M235" s="1">
        <v>4034</v>
      </c>
      <c r="N235" s="1">
        <v>4007</v>
      </c>
      <c r="O235" s="1">
        <v>3918</v>
      </c>
      <c r="P235" t="s">
        <v>436</v>
      </c>
      <c r="Q235" t="s">
        <v>503</v>
      </c>
      <c r="R235" s="1" t="s">
        <v>228</v>
      </c>
      <c r="S235" s="1">
        <f>IFERROR(AVERAGE(Urban[[#This Row],[‫دیسمبر‬‏]]:Urban[[#This Row],[‫اكتوبر‬‏]]),"")</f>
        <v>4465</v>
      </c>
      <c r="T235" s="1">
        <f>IFERROR(AVERAGE(Urban[[#This Row],[‫سبتمبر‬‏]]:Urban[[#This Row],[‫یولیو‬‏]]),"")</f>
        <v>4369</v>
      </c>
      <c r="U235" s="1">
        <f>IFERROR(AVERAGE(Urban[[#This Row],[‫یونیو‬‏]]:Urban[[#This Row],[‫ابریل‬‏]]),"")</f>
        <v>4035.6666666666665</v>
      </c>
      <c r="V235" s="1">
        <f>IFERROR(AVERAGE(Urban[[#This Row],[‫مارس‬‏]]:Urban[[#This Row],[‫ینایر‬‏]]),"")</f>
        <v>3986.3333333333335</v>
      </c>
    </row>
    <row r="236" spans="1:22" x14ac:dyDescent="0.35">
      <c r="A236" s="1">
        <v>164</v>
      </c>
      <c r="B236" s="1">
        <v>2652</v>
      </c>
      <c r="C236" s="1">
        <v>3087</v>
      </c>
      <c r="D236" s="1">
        <v>3269</v>
      </c>
      <c r="E236" s="1">
        <v>3287</v>
      </c>
      <c r="F236" s="1">
        <v>3265</v>
      </c>
      <c r="G236" s="1">
        <v>3235</v>
      </c>
      <c r="H236" s="1">
        <v>3184</v>
      </c>
      <c r="I236" s="1">
        <v>3178</v>
      </c>
      <c r="J236" s="1">
        <v>2953</v>
      </c>
      <c r="K236" s="1">
        <v>2953</v>
      </c>
      <c r="L236" s="1">
        <v>2961</v>
      </c>
      <c r="M236" s="1">
        <v>2953</v>
      </c>
      <c r="N236" s="1">
        <v>2941</v>
      </c>
      <c r="O236" s="1">
        <v>2870</v>
      </c>
      <c r="P236" t="s">
        <v>504</v>
      </c>
      <c r="Q236" t="s">
        <v>505</v>
      </c>
      <c r="R236" s="1" t="s">
        <v>228</v>
      </c>
      <c r="S236" s="1">
        <f>IFERROR(AVERAGE(Urban[[#This Row],[‫دیسمبر‬‏]]:Urban[[#This Row],[‫اكتوبر‬‏]]),"")</f>
        <v>3273.6666666666665</v>
      </c>
      <c r="T236" s="1">
        <f>IFERROR(AVERAGE(Urban[[#This Row],[‫سبتمبر‬‏]]:Urban[[#This Row],[‫یولیو‬‏]]),"")</f>
        <v>3199</v>
      </c>
      <c r="U236" s="1">
        <f>IFERROR(AVERAGE(Urban[[#This Row],[‫یونیو‬‏]]:Urban[[#This Row],[‫ابریل‬‏]]),"")</f>
        <v>2955.6666666666665</v>
      </c>
      <c r="V236" s="1">
        <f>IFERROR(AVERAGE(Urban[[#This Row],[‫مارس‬‏]]:Urban[[#This Row],[‫ینایر‬‏]]),"")</f>
        <v>2921.3333333333335</v>
      </c>
    </row>
    <row r="237" spans="1:22" x14ac:dyDescent="0.35">
      <c r="A237" s="1">
        <v>1234</v>
      </c>
      <c r="B237" s="1">
        <v>4151</v>
      </c>
      <c r="C237" s="1">
        <v>4664</v>
      </c>
      <c r="D237" s="1">
        <v>4773</v>
      </c>
      <c r="E237" s="1">
        <v>4775</v>
      </c>
      <c r="F237" s="1">
        <v>4727</v>
      </c>
      <c r="G237" s="1">
        <v>4693</v>
      </c>
      <c r="H237" s="1">
        <v>4718</v>
      </c>
      <c r="I237" s="1">
        <v>4715</v>
      </c>
      <c r="J237" s="1">
        <v>4692</v>
      </c>
      <c r="K237" s="1">
        <v>4667</v>
      </c>
      <c r="L237" s="1">
        <v>4596</v>
      </c>
      <c r="M237" s="1">
        <v>4552</v>
      </c>
      <c r="N237" s="1">
        <v>4547</v>
      </c>
      <c r="O237" s="1">
        <v>4513</v>
      </c>
      <c r="P237" t="s">
        <v>506</v>
      </c>
      <c r="Q237" t="s">
        <v>507</v>
      </c>
      <c r="R237" s="1" t="s">
        <v>228</v>
      </c>
      <c r="S237" s="1">
        <f>IFERROR(AVERAGE(Urban[[#This Row],[‫دیسمبر‬‏]]:Urban[[#This Row],[‫اكتوبر‬‏]]),"")</f>
        <v>4758.333333333333</v>
      </c>
      <c r="T237" s="1">
        <f>IFERROR(AVERAGE(Urban[[#This Row],[‫سبتمبر‬‏]]:Urban[[#This Row],[‫یولیو‬‏]]),"")</f>
        <v>4708.666666666667</v>
      </c>
      <c r="U237" s="1">
        <f>IFERROR(AVERAGE(Urban[[#This Row],[‫یونیو‬‏]]:Urban[[#This Row],[‫ابریل‬‏]]),"")</f>
        <v>4651.666666666667</v>
      </c>
      <c r="V237" s="1">
        <f>IFERROR(AVERAGE(Urban[[#This Row],[‫مارس‬‏]]:Urban[[#This Row],[‫ینایر‬‏]]),"")</f>
        <v>4537.333333333333</v>
      </c>
    </row>
    <row r="238" spans="1:22" x14ac:dyDescent="0.35">
      <c r="A238" s="1">
        <v>119</v>
      </c>
      <c r="B238" s="1">
        <v>7223</v>
      </c>
      <c r="C238" s="1">
        <v>8081</v>
      </c>
      <c r="D238" s="1">
        <v>8424</v>
      </c>
      <c r="E238" s="1">
        <v>8360</v>
      </c>
      <c r="F238" s="1">
        <v>8315</v>
      </c>
      <c r="G238" s="1">
        <v>8301</v>
      </c>
      <c r="H238" s="1">
        <v>8271</v>
      </c>
      <c r="I238" s="1">
        <v>8177</v>
      </c>
      <c r="J238" s="1">
        <v>8102</v>
      </c>
      <c r="K238" s="1">
        <v>8073</v>
      </c>
      <c r="L238" s="1">
        <v>7883</v>
      </c>
      <c r="M238" s="1">
        <v>7741</v>
      </c>
      <c r="N238" s="1">
        <v>7689</v>
      </c>
      <c r="O238" s="1">
        <v>7634</v>
      </c>
      <c r="P238" t="s">
        <v>25</v>
      </c>
      <c r="Q238" t="s">
        <v>508</v>
      </c>
      <c r="R238" s="1" t="s">
        <v>228</v>
      </c>
      <c r="S238" s="1">
        <f>IFERROR(AVERAGE(Urban[[#This Row],[‫دیسمبر‬‏]]:Urban[[#This Row],[‫اكتوبر‬‏]]),"")</f>
        <v>8366.3333333333339</v>
      </c>
      <c r="T238" s="1">
        <f>IFERROR(AVERAGE(Urban[[#This Row],[‫سبتمبر‬‏]]:Urban[[#This Row],[‫یولیو‬‏]]),"")</f>
        <v>8249.6666666666661</v>
      </c>
      <c r="U238" s="1">
        <f>IFERROR(AVERAGE(Urban[[#This Row],[‫یونیو‬‏]]:Urban[[#This Row],[‫ابریل‬‏]]),"")</f>
        <v>8019.333333333333</v>
      </c>
      <c r="V238" s="1">
        <f>IFERROR(AVERAGE(Urban[[#This Row],[‫مارس‬‏]]:Urban[[#This Row],[‫ینایر‬‏]]),"")</f>
        <v>7688</v>
      </c>
    </row>
    <row r="239" spans="1:22" x14ac:dyDescent="0.35">
      <c r="A239" s="1">
        <v>1265</v>
      </c>
      <c r="B239" s="1">
        <v>7432</v>
      </c>
      <c r="C239" s="1">
        <v>8372</v>
      </c>
      <c r="D239" s="1">
        <v>8761</v>
      </c>
      <c r="E239" s="1">
        <v>8712</v>
      </c>
      <c r="F239" s="1">
        <v>8675</v>
      </c>
      <c r="G239" s="1">
        <v>8674</v>
      </c>
      <c r="H239" s="1">
        <v>8609</v>
      </c>
      <c r="I239" s="1">
        <v>8539</v>
      </c>
      <c r="J239" s="1">
        <v>8381</v>
      </c>
      <c r="K239" s="1">
        <v>8296</v>
      </c>
      <c r="L239" s="1">
        <v>8089</v>
      </c>
      <c r="M239" s="1">
        <v>7968</v>
      </c>
      <c r="N239" s="1">
        <v>7906</v>
      </c>
      <c r="O239" s="1">
        <v>7857</v>
      </c>
      <c r="P239" t="s">
        <v>25</v>
      </c>
      <c r="Q239" t="s">
        <v>509</v>
      </c>
      <c r="R239" s="1" t="s">
        <v>228</v>
      </c>
      <c r="S239" s="1">
        <f>IFERROR(AVERAGE(Urban[[#This Row],[‫دیسمبر‬‏]]:Urban[[#This Row],[‫اكتوبر‬‏]]),"")</f>
        <v>8716</v>
      </c>
      <c r="T239" s="1">
        <f>IFERROR(AVERAGE(Urban[[#This Row],[‫سبتمبر‬‏]]:Urban[[#This Row],[‫یولیو‬‏]]),"")</f>
        <v>8607.3333333333339</v>
      </c>
      <c r="U239" s="1">
        <f>IFERROR(AVERAGE(Urban[[#This Row],[‫یونیو‬‏]]:Urban[[#This Row],[‫ابریل‬‏]]),"")</f>
        <v>8255.3333333333339</v>
      </c>
      <c r="V239" s="1">
        <f>IFERROR(AVERAGE(Urban[[#This Row],[‫مارس‬‏]]:Urban[[#This Row],[‫ینایر‬‏]]),"")</f>
        <v>7910.333333333333</v>
      </c>
    </row>
    <row r="240" spans="1:22" x14ac:dyDescent="0.35">
      <c r="A240" s="1">
        <v>1462</v>
      </c>
      <c r="B240" s="1">
        <v>8404</v>
      </c>
      <c r="C240" s="1">
        <v>9633</v>
      </c>
      <c r="D240" s="1">
        <v>10007</v>
      </c>
      <c r="E240" s="1">
        <v>9975</v>
      </c>
      <c r="F240" s="1">
        <v>9961</v>
      </c>
      <c r="G240" s="1">
        <v>9987</v>
      </c>
      <c r="H240" s="1">
        <v>9948</v>
      </c>
      <c r="I240" s="1">
        <v>9831</v>
      </c>
      <c r="J240" s="1">
        <v>9714</v>
      </c>
      <c r="K240" s="1">
        <v>9554</v>
      </c>
      <c r="L240" s="1">
        <v>9429</v>
      </c>
      <c r="M240" s="1">
        <v>9172</v>
      </c>
      <c r="N240" s="1">
        <v>9025</v>
      </c>
      <c r="O240" s="1">
        <v>8992</v>
      </c>
      <c r="P240" t="s">
        <v>25</v>
      </c>
      <c r="Q240" t="s">
        <v>510</v>
      </c>
      <c r="R240" s="1" t="s">
        <v>228</v>
      </c>
      <c r="S240" s="1">
        <f>IFERROR(AVERAGE(Urban[[#This Row],[‫دیسمبر‬‏]]:Urban[[#This Row],[‫اكتوبر‬‏]]),"")</f>
        <v>9981</v>
      </c>
      <c r="T240" s="1">
        <f>IFERROR(AVERAGE(Urban[[#This Row],[‫سبتمبر‬‏]]:Urban[[#This Row],[‫یولیو‬‏]]),"")</f>
        <v>9922</v>
      </c>
      <c r="U240" s="1">
        <f>IFERROR(AVERAGE(Urban[[#This Row],[‫یونیو‬‏]]:Urban[[#This Row],[‫ابریل‬‏]]),"")</f>
        <v>9565.6666666666661</v>
      </c>
      <c r="V240" s="1">
        <f>IFERROR(AVERAGE(Urban[[#This Row],[‫مارس‬‏]]:Urban[[#This Row],[‫ینایر‬‏]]),"")</f>
        <v>9063</v>
      </c>
    </row>
    <row r="241" spans="1:22" x14ac:dyDescent="0.35">
      <c r="A241" s="1">
        <v>1836</v>
      </c>
      <c r="B241" s="1">
        <v>17391</v>
      </c>
      <c r="C241" s="1">
        <v>20585</v>
      </c>
      <c r="D241" s="1">
        <v>21479</v>
      </c>
      <c r="E241" s="1">
        <v>21440</v>
      </c>
      <c r="F241" s="1">
        <v>21297</v>
      </c>
      <c r="G241" s="1">
        <v>21271</v>
      </c>
      <c r="H241" s="1">
        <v>21199</v>
      </c>
      <c r="I241" s="1">
        <v>21128</v>
      </c>
      <c r="J241" s="1">
        <v>20893</v>
      </c>
      <c r="K241" s="1">
        <v>20635</v>
      </c>
      <c r="L241" s="1">
        <v>20436</v>
      </c>
      <c r="M241" s="1">
        <v>20303</v>
      </c>
      <c r="N241" s="1">
        <v>18508</v>
      </c>
      <c r="O241" s="1">
        <v>18425</v>
      </c>
      <c r="P241" t="s">
        <v>25</v>
      </c>
      <c r="Q241" t="s">
        <v>511</v>
      </c>
      <c r="R241" s="1" t="s">
        <v>228</v>
      </c>
      <c r="S241" s="1">
        <f>IFERROR(AVERAGE(Urban[[#This Row],[‫دیسمبر‬‏]]:Urban[[#This Row],[‫اكتوبر‬‏]]),"")</f>
        <v>21405.333333333332</v>
      </c>
      <c r="T241" s="1">
        <f>IFERROR(AVERAGE(Urban[[#This Row],[‫سبتمبر‬‏]]:Urban[[#This Row],[‫یولیو‬‏]]),"")</f>
        <v>21199.333333333332</v>
      </c>
      <c r="U241" s="1">
        <f>IFERROR(AVERAGE(Urban[[#This Row],[‫یونیو‬‏]]:Urban[[#This Row],[‫ابریل‬‏]]),"")</f>
        <v>20654.666666666668</v>
      </c>
      <c r="V241" s="1">
        <f>IFERROR(AVERAGE(Urban[[#This Row],[‫مارس‬‏]]:Urban[[#This Row],[‫ینایر‬‏]]),"")</f>
        <v>19078.666666666668</v>
      </c>
    </row>
    <row r="242" spans="1:22" x14ac:dyDescent="0.35">
      <c r="A242" s="1">
        <v>1585</v>
      </c>
      <c r="B242" s="1">
        <v>17270</v>
      </c>
      <c r="C242" s="1">
        <v>20007</v>
      </c>
      <c r="D242" s="1">
        <v>20934</v>
      </c>
      <c r="E242" s="1">
        <v>20914</v>
      </c>
      <c r="F242" s="1">
        <v>20767</v>
      </c>
      <c r="G242" s="1">
        <v>20733</v>
      </c>
      <c r="H242" s="1">
        <v>20600</v>
      </c>
      <c r="I242" s="1">
        <v>20514</v>
      </c>
      <c r="J242" s="1">
        <v>20127</v>
      </c>
      <c r="K242" s="1">
        <v>19909</v>
      </c>
      <c r="L242" s="1">
        <v>19668</v>
      </c>
      <c r="M242" s="1">
        <v>19559</v>
      </c>
      <c r="N242" s="1">
        <v>18227</v>
      </c>
      <c r="O242" s="1">
        <v>18132</v>
      </c>
      <c r="P242" t="s">
        <v>25</v>
      </c>
      <c r="Q242" t="s">
        <v>512</v>
      </c>
      <c r="R242" s="1" t="s">
        <v>228</v>
      </c>
      <c r="S242" s="1">
        <f>IFERROR(AVERAGE(Urban[[#This Row],[‫دیسمبر‬‏]]:Urban[[#This Row],[‫اكتوبر‬‏]]),"")</f>
        <v>20871.666666666668</v>
      </c>
      <c r="T242" s="1">
        <f>IFERROR(AVERAGE(Urban[[#This Row],[‫سبتمبر‬‏]]:Urban[[#This Row],[‫یولیو‬‏]]),"")</f>
        <v>20615.666666666668</v>
      </c>
      <c r="U242" s="1">
        <f>IFERROR(AVERAGE(Urban[[#This Row],[‫یونیو‬‏]]:Urban[[#This Row],[‫ابریل‬‏]]),"")</f>
        <v>19901.333333333332</v>
      </c>
      <c r="V242" s="1">
        <f>IFERROR(AVERAGE(Urban[[#This Row],[‫مارس‬‏]]:Urban[[#This Row],[‫ینایر‬‏]]),"")</f>
        <v>18639.333333333332</v>
      </c>
    </row>
    <row r="243" spans="1:22" x14ac:dyDescent="0.35">
      <c r="A243" s="1">
        <v>1517</v>
      </c>
      <c r="B243" s="1">
        <v>1187</v>
      </c>
      <c r="C243" s="1">
        <v>1367</v>
      </c>
      <c r="D243" s="1">
        <v>1412</v>
      </c>
      <c r="E243" s="1">
        <v>1405</v>
      </c>
      <c r="F243" s="1">
        <v>1402</v>
      </c>
      <c r="G243" s="1">
        <v>1394</v>
      </c>
      <c r="H243" s="1">
        <v>1394</v>
      </c>
      <c r="I243" s="1">
        <v>1393</v>
      </c>
      <c r="J243" s="1">
        <v>1381</v>
      </c>
      <c r="K243" s="1">
        <v>1367</v>
      </c>
      <c r="L243" s="1">
        <v>1341</v>
      </c>
      <c r="M243" s="1">
        <v>1327</v>
      </c>
      <c r="N243" s="1">
        <v>1305</v>
      </c>
      <c r="O243" s="1">
        <v>1279</v>
      </c>
      <c r="P243" t="s">
        <v>513</v>
      </c>
      <c r="Q243" t="s">
        <v>514</v>
      </c>
      <c r="R243" s="1" t="s">
        <v>228</v>
      </c>
      <c r="S243" s="1">
        <f>IFERROR(AVERAGE(Urban[[#This Row],[‫دیسمبر‬‏]]:Urban[[#This Row],[‫اكتوبر‬‏]]),"")</f>
        <v>1406.3333333333333</v>
      </c>
      <c r="T243" s="1">
        <f>IFERROR(AVERAGE(Urban[[#This Row],[‫سبتمبر‬‏]]:Urban[[#This Row],[‫یولیو‬‏]]),"")</f>
        <v>1393.6666666666667</v>
      </c>
      <c r="U243" s="1">
        <f>IFERROR(AVERAGE(Urban[[#This Row],[‫یونیو‬‏]]:Urban[[#This Row],[‫ابریل‬‏]]),"")</f>
        <v>1363</v>
      </c>
      <c r="V243" s="1">
        <f>IFERROR(AVERAGE(Urban[[#This Row],[‫مارس‬‏]]:Urban[[#This Row],[‫ینایر‬‏]]),"")</f>
        <v>1303.6666666666667</v>
      </c>
    </row>
    <row r="244" spans="1:22" x14ac:dyDescent="0.35">
      <c r="A244" s="1">
        <v>1129</v>
      </c>
      <c r="B244" s="1">
        <v>1812</v>
      </c>
      <c r="C244" s="1">
        <v>2017</v>
      </c>
      <c r="D244" s="1">
        <v>2097</v>
      </c>
      <c r="E244" s="1">
        <v>2106</v>
      </c>
      <c r="F244" s="1">
        <v>2095</v>
      </c>
      <c r="G244" s="1">
        <v>2054</v>
      </c>
      <c r="H244" s="1">
        <v>2053</v>
      </c>
      <c r="I244" s="1">
        <v>2052</v>
      </c>
      <c r="J244" s="1">
        <v>2020</v>
      </c>
      <c r="K244" s="1">
        <v>1960</v>
      </c>
      <c r="L244" s="1">
        <v>1943</v>
      </c>
      <c r="M244" s="1">
        <v>1955</v>
      </c>
      <c r="N244" s="1">
        <v>1951</v>
      </c>
      <c r="O244" s="1">
        <v>1915</v>
      </c>
      <c r="P244" t="s">
        <v>363</v>
      </c>
      <c r="Q244" t="s">
        <v>515</v>
      </c>
      <c r="R244" s="1" t="s">
        <v>228</v>
      </c>
      <c r="S244" s="1">
        <f>IFERROR(AVERAGE(Urban[[#This Row],[‫دیسمبر‬‏]]:Urban[[#This Row],[‫اكتوبر‬‏]]),"")</f>
        <v>2099.3333333333335</v>
      </c>
      <c r="T244" s="1">
        <f>IFERROR(AVERAGE(Urban[[#This Row],[‫سبتمبر‬‏]]:Urban[[#This Row],[‫یولیو‬‏]]),"")</f>
        <v>2053</v>
      </c>
      <c r="U244" s="1">
        <f>IFERROR(AVERAGE(Urban[[#This Row],[‫یونیو‬‏]]:Urban[[#This Row],[‫ابریل‬‏]]),"")</f>
        <v>1974.3333333333333</v>
      </c>
      <c r="V244" s="1">
        <f>IFERROR(AVERAGE(Urban[[#This Row],[‫مارس‬‏]]:Urban[[#This Row],[‫ینایر‬‏]]),"")</f>
        <v>1940.3333333333333</v>
      </c>
    </row>
    <row r="245" spans="1:22" x14ac:dyDescent="0.35">
      <c r="A245" s="1">
        <v>1182</v>
      </c>
      <c r="B245" s="1">
        <v>5553</v>
      </c>
      <c r="C245" s="1">
        <v>6210</v>
      </c>
      <c r="D245" s="1">
        <v>6575</v>
      </c>
      <c r="E245" s="1">
        <v>6471</v>
      </c>
      <c r="F245" s="1">
        <v>6430</v>
      </c>
      <c r="G245" s="1">
        <v>6399</v>
      </c>
      <c r="H245" s="1">
        <v>6364</v>
      </c>
      <c r="I245" s="1">
        <v>6352</v>
      </c>
      <c r="J245" s="1">
        <v>6253</v>
      </c>
      <c r="K245" s="1">
        <v>6200</v>
      </c>
      <c r="L245" s="1">
        <v>5973</v>
      </c>
      <c r="M245" s="1">
        <v>5884</v>
      </c>
      <c r="N245" s="1">
        <v>5840</v>
      </c>
      <c r="O245" s="1">
        <v>5773</v>
      </c>
      <c r="P245" t="s">
        <v>267</v>
      </c>
      <c r="Q245" t="s">
        <v>516</v>
      </c>
      <c r="R245" s="1" t="s">
        <v>228</v>
      </c>
      <c r="S245" s="1">
        <f>IFERROR(AVERAGE(Urban[[#This Row],[‫دیسمبر‬‏]]:Urban[[#This Row],[‫اكتوبر‬‏]]),"")</f>
        <v>6492</v>
      </c>
      <c r="T245" s="1">
        <f>IFERROR(AVERAGE(Urban[[#This Row],[‫سبتمبر‬‏]]:Urban[[#This Row],[‫یولیو‬‏]]),"")</f>
        <v>6371.666666666667</v>
      </c>
      <c r="U245" s="1">
        <f>IFERROR(AVERAGE(Urban[[#This Row],[‫یونیو‬‏]]:Urban[[#This Row],[‫ابریل‬‏]]),"")</f>
        <v>6142</v>
      </c>
      <c r="V245" s="1">
        <f>IFERROR(AVERAGE(Urban[[#This Row],[‫مارس‬‏]]:Urban[[#This Row],[‫ینایر‬‏]]),"")</f>
        <v>5832.333333333333</v>
      </c>
    </row>
    <row r="246" spans="1:22" x14ac:dyDescent="0.35">
      <c r="A246" s="1">
        <v>492</v>
      </c>
      <c r="B246" s="1">
        <v>4104</v>
      </c>
      <c r="C246" s="1">
        <v>4306</v>
      </c>
      <c r="D246" s="1">
        <v>4388</v>
      </c>
      <c r="E246" s="1">
        <v>4370</v>
      </c>
      <c r="F246" s="1">
        <v>4371</v>
      </c>
      <c r="G246" s="1">
        <v>4349</v>
      </c>
      <c r="H246" s="1">
        <v>4324</v>
      </c>
      <c r="I246" s="1">
        <v>4319</v>
      </c>
      <c r="J246" s="1">
        <v>4317</v>
      </c>
      <c r="K246" s="1">
        <v>4293</v>
      </c>
      <c r="L246" s="1">
        <v>4262</v>
      </c>
      <c r="M246" s="1">
        <v>4228</v>
      </c>
      <c r="N246" s="1">
        <v>4228</v>
      </c>
      <c r="O246" s="1">
        <v>4228</v>
      </c>
      <c r="P246" t="s">
        <v>517</v>
      </c>
      <c r="Q246" t="s">
        <v>518</v>
      </c>
      <c r="R246" s="1" t="s">
        <v>228</v>
      </c>
      <c r="S246" s="1">
        <f>IFERROR(AVERAGE(Urban[[#This Row],[‫دیسمبر‬‏]]:Urban[[#This Row],[‫اكتوبر‬‏]]),"")</f>
        <v>4376.333333333333</v>
      </c>
      <c r="T246" s="1">
        <f>IFERROR(AVERAGE(Urban[[#This Row],[‫سبتمبر‬‏]]:Urban[[#This Row],[‫یولیو‬‏]]),"")</f>
        <v>4330.666666666667</v>
      </c>
      <c r="U246" s="1">
        <f>IFERROR(AVERAGE(Urban[[#This Row],[‫یونیو‬‏]]:Urban[[#This Row],[‫ابریل‬‏]]),"")</f>
        <v>4290.666666666667</v>
      </c>
      <c r="V246" s="1">
        <f>IFERROR(AVERAGE(Urban[[#This Row],[‫مارس‬‏]]:Urban[[#This Row],[‫ینایر‬‏]]),"")</f>
        <v>4228</v>
      </c>
    </row>
    <row r="247" spans="1:22" x14ac:dyDescent="0.35">
      <c r="A247" s="1">
        <v>196</v>
      </c>
      <c r="B247" s="1">
        <v>3677</v>
      </c>
      <c r="C247" s="1">
        <v>3749</v>
      </c>
      <c r="D247" s="1">
        <v>3858</v>
      </c>
      <c r="E247" s="1">
        <v>3837</v>
      </c>
      <c r="F247" s="1">
        <v>3833</v>
      </c>
      <c r="G247" s="1">
        <v>3759</v>
      </c>
      <c r="H247" s="1">
        <v>3737</v>
      </c>
      <c r="I247" s="1">
        <v>3741</v>
      </c>
      <c r="J247" s="1">
        <v>3740</v>
      </c>
      <c r="K247" s="1">
        <v>3732</v>
      </c>
      <c r="L247" s="1">
        <v>3713</v>
      </c>
      <c r="M247" s="1">
        <v>3682</v>
      </c>
      <c r="N247" s="1">
        <v>3698</v>
      </c>
      <c r="O247" s="1">
        <v>3655</v>
      </c>
      <c r="P247" t="s">
        <v>519</v>
      </c>
      <c r="Q247" t="s">
        <v>520</v>
      </c>
      <c r="R247" s="1" t="s">
        <v>228</v>
      </c>
      <c r="S247" s="1">
        <f>IFERROR(AVERAGE(Urban[[#This Row],[‫دیسمبر‬‏]]:Urban[[#This Row],[‫اكتوبر‬‏]]),"")</f>
        <v>3842.6666666666665</v>
      </c>
      <c r="T247" s="1">
        <f>IFERROR(AVERAGE(Urban[[#This Row],[‫سبتمبر‬‏]]:Urban[[#This Row],[‫یولیو‬‏]]),"")</f>
        <v>3745.6666666666665</v>
      </c>
      <c r="U247" s="1">
        <f>IFERROR(AVERAGE(Urban[[#This Row],[‫یونیو‬‏]]:Urban[[#This Row],[‫ابریل‬‏]]),"")</f>
        <v>3728.3333333333335</v>
      </c>
      <c r="V247" s="1">
        <f>IFERROR(AVERAGE(Urban[[#This Row],[‫مارس‬‏]]:Urban[[#This Row],[‫ینایر‬‏]]),"")</f>
        <v>3678.3333333333335</v>
      </c>
    </row>
    <row r="248" spans="1:22" x14ac:dyDescent="0.35">
      <c r="A248" s="1">
        <v>1482</v>
      </c>
      <c r="B248" s="1">
        <v>2072</v>
      </c>
      <c r="C248" s="1">
        <v>2378</v>
      </c>
      <c r="D248" s="1">
        <v>2475</v>
      </c>
      <c r="E248" s="1">
        <v>2474</v>
      </c>
      <c r="F248" s="1">
        <v>2464</v>
      </c>
      <c r="G248" s="1">
        <v>2446</v>
      </c>
      <c r="H248" s="1">
        <v>2436</v>
      </c>
      <c r="I248" s="1">
        <v>2423</v>
      </c>
      <c r="J248" s="1">
        <v>2407</v>
      </c>
      <c r="K248" s="1">
        <v>2366</v>
      </c>
      <c r="L248" s="1">
        <v>2336</v>
      </c>
      <c r="M248" s="1">
        <v>2266</v>
      </c>
      <c r="N248" s="1">
        <v>2237</v>
      </c>
      <c r="O248" s="1">
        <v>2211</v>
      </c>
      <c r="P248" t="s">
        <v>513</v>
      </c>
      <c r="Q248" t="s">
        <v>521</v>
      </c>
      <c r="R248" s="1" t="s">
        <v>228</v>
      </c>
      <c r="S248" s="1">
        <f>IFERROR(AVERAGE(Urban[[#This Row],[‫دیسمبر‬‏]]:Urban[[#This Row],[‫اكتوبر‬‏]]),"")</f>
        <v>2471</v>
      </c>
      <c r="T248" s="1">
        <f>IFERROR(AVERAGE(Urban[[#This Row],[‫سبتمبر‬‏]]:Urban[[#This Row],[‫یولیو‬‏]]),"")</f>
        <v>2435</v>
      </c>
      <c r="U248" s="1">
        <f>IFERROR(AVERAGE(Urban[[#This Row],[‫یونیو‬‏]]:Urban[[#This Row],[‫ابریل‬‏]]),"")</f>
        <v>2369.6666666666665</v>
      </c>
      <c r="V248" s="1">
        <f>IFERROR(AVERAGE(Urban[[#This Row],[‫مارس‬‏]]:Urban[[#This Row],[‫ینایر‬‏]]),"")</f>
        <v>2238</v>
      </c>
    </row>
    <row r="249" spans="1:22" x14ac:dyDescent="0.35">
      <c r="A249" s="1">
        <v>1771</v>
      </c>
      <c r="B249" s="1">
        <v>163</v>
      </c>
      <c r="C249" s="1">
        <v>192</v>
      </c>
      <c r="D249" s="1">
        <v>197</v>
      </c>
      <c r="E249" s="1">
        <v>197</v>
      </c>
      <c r="F249" s="1">
        <v>197</v>
      </c>
      <c r="G249" s="1">
        <v>194</v>
      </c>
      <c r="H249" s="1">
        <v>194</v>
      </c>
      <c r="I249" s="1">
        <v>193</v>
      </c>
      <c r="J249" s="1">
        <v>192</v>
      </c>
      <c r="K249" s="1">
        <v>191</v>
      </c>
      <c r="L249" s="1">
        <v>191</v>
      </c>
      <c r="M249" s="1">
        <v>189</v>
      </c>
      <c r="N249" s="1">
        <v>189</v>
      </c>
      <c r="O249" s="1">
        <v>184</v>
      </c>
      <c r="P249" t="s">
        <v>427</v>
      </c>
      <c r="Q249" t="s">
        <v>522</v>
      </c>
      <c r="R249" s="1" t="s">
        <v>228</v>
      </c>
      <c r="S249" s="1">
        <f>IFERROR(AVERAGE(Urban[[#This Row],[‫دیسمبر‬‏]]:Urban[[#This Row],[‫اكتوبر‬‏]]),"")</f>
        <v>197</v>
      </c>
      <c r="T249" s="1">
        <f>IFERROR(AVERAGE(Urban[[#This Row],[‫سبتمبر‬‏]]:Urban[[#This Row],[‫یولیو‬‏]]),"")</f>
        <v>193.66666666666666</v>
      </c>
      <c r="U249" s="1">
        <f>IFERROR(AVERAGE(Urban[[#This Row],[‫یونیو‬‏]]:Urban[[#This Row],[‫ابریل‬‏]]),"")</f>
        <v>191.33333333333334</v>
      </c>
      <c r="V249" s="1">
        <f>IFERROR(AVERAGE(Urban[[#This Row],[‫مارس‬‏]]:Urban[[#This Row],[‫ینایر‬‏]]),"")</f>
        <v>187.33333333333334</v>
      </c>
    </row>
    <row r="250" spans="1:22" x14ac:dyDescent="0.35">
      <c r="A250" s="1">
        <v>1195</v>
      </c>
      <c r="B250" s="1">
        <v>5061</v>
      </c>
      <c r="C250" s="1">
        <v>5666</v>
      </c>
      <c r="D250" s="1">
        <v>5857</v>
      </c>
      <c r="E250" s="1">
        <v>5857</v>
      </c>
      <c r="F250" s="1">
        <v>5838</v>
      </c>
      <c r="G250" s="1">
        <v>5744</v>
      </c>
      <c r="H250" s="1">
        <v>5805</v>
      </c>
      <c r="I250" s="1">
        <v>5785</v>
      </c>
      <c r="J250" s="1">
        <v>5703</v>
      </c>
      <c r="K250" s="1">
        <v>5642</v>
      </c>
      <c r="L250" s="1">
        <v>5556</v>
      </c>
      <c r="M250" s="1">
        <v>5462</v>
      </c>
      <c r="N250" s="1">
        <v>5420</v>
      </c>
      <c r="O250" s="1">
        <v>5321</v>
      </c>
      <c r="P250" t="s">
        <v>25</v>
      </c>
      <c r="Q250" t="s">
        <v>523</v>
      </c>
      <c r="R250" s="1" t="s">
        <v>228</v>
      </c>
      <c r="S250" s="1">
        <f>IFERROR(AVERAGE(Urban[[#This Row],[‫دیسمبر‬‏]]:Urban[[#This Row],[‫اكتوبر‬‏]]),"")</f>
        <v>5850.666666666667</v>
      </c>
      <c r="T250" s="1">
        <f>IFERROR(AVERAGE(Urban[[#This Row],[‫سبتمبر‬‏]]:Urban[[#This Row],[‫یولیو‬‏]]),"")</f>
        <v>5778</v>
      </c>
      <c r="U250" s="1">
        <f>IFERROR(AVERAGE(Urban[[#This Row],[‫یونیو‬‏]]:Urban[[#This Row],[‫ابریل‬‏]]),"")</f>
        <v>5633.666666666667</v>
      </c>
      <c r="V250" s="1">
        <f>IFERROR(AVERAGE(Urban[[#This Row],[‫مارس‬‏]]:Urban[[#This Row],[‫ینایر‬‏]]),"")</f>
        <v>5401</v>
      </c>
    </row>
    <row r="251" spans="1:22" x14ac:dyDescent="0.35">
      <c r="A251" s="1">
        <v>145</v>
      </c>
      <c r="B251" s="1">
        <v>213</v>
      </c>
      <c r="C251" s="1">
        <v>244</v>
      </c>
      <c r="D251" s="1">
        <v>263</v>
      </c>
      <c r="E251" s="1">
        <v>246</v>
      </c>
      <c r="F251" s="1">
        <v>244</v>
      </c>
      <c r="G251" s="1">
        <v>244</v>
      </c>
      <c r="H251" s="1">
        <v>244</v>
      </c>
      <c r="I251" s="1">
        <v>243</v>
      </c>
      <c r="J251" s="1">
        <v>243</v>
      </c>
      <c r="K251" s="1">
        <v>243</v>
      </c>
      <c r="L251" s="1">
        <v>243</v>
      </c>
      <c r="M251" s="1">
        <v>238</v>
      </c>
      <c r="N251" s="1">
        <v>238</v>
      </c>
      <c r="O251" s="1">
        <v>235</v>
      </c>
      <c r="P251" t="s">
        <v>427</v>
      </c>
      <c r="Q251" t="s">
        <v>524</v>
      </c>
      <c r="R251" s="1" t="s">
        <v>228</v>
      </c>
      <c r="S251" s="1">
        <f>IFERROR(AVERAGE(Urban[[#This Row],[‫دیسمبر‬‏]]:Urban[[#This Row],[‫اكتوبر‬‏]]),"")</f>
        <v>251</v>
      </c>
      <c r="T251" s="1">
        <f>IFERROR(AVERAGE(Urban[[#This Row],[‫سبتمبر‬‏]]:Urban[[#This Row],[‫یولیو‬‏]]),"")</f>
        <v>243.66666666666666</v>
      </c>
      <c r="U251" s="1">
        <f>IFERROR(AVERAGE(Urban[[#This Row],[‫یونیو‬‏]]:Urban[[#This Row],[‫ابریل‬‏]]),"")</f>
        <v>243</v>
      </c>
      <c r="V251" s="1">
        <f>IFERROR(AVERAGE(Urban[[#This Row],[‫مارس‬‏]]:Urban[[#This Row],[‫ینایر‬‏]]),"")</f>
        <v>237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F4B0-30BD-4046-BA5F-C4691F2BF63F}">
  <dimension ref="A1:V257"/>
  <sheetViews>
    <sheetView tabSelected="1" workbookViewId="0">
      <selection sqref="A1:XFD1048576"/>
    </sheetView>
  </sheetViews>
  <sheetFormatPr defaultRowHeight="14.5" x14ac:dyDescent="0.35"/>
  <cols>
    <col min="1" max="1" width="19.6328125" bestFit="1" customWidth="1"/>
    <col min="2" max="2" width="10.1796875" bestFit="1" customWidth="1"/>
    <col min="3" max="3" width="9.7265625" bestFit="1" customWidth="1"/>
    <col min="4" max="7" width="6.81640625" bestFit="1" customWidth="1"/>
    <col min="8" max="8" width="6.90625" bestFit="1" customWidth="1"/>
    <col min="9" max="15" width="6.81640625" bestFit="1" customWidth="1"/>
    <col min="16" max="16" width="10.26953125" bestFit="1" customWidth="1"/>
    <col min="17" max="17" width="33.08984375" bestFit="1" customWidth="1"/>
    <col min="18" max="18" width="10.54296875" bestFit="1" customWidth="1"/>
  </cols>
  <sheetData>
    <row r="1" spans="1:22" x14ac:dyDescent="0.35">
      <c r="A1" t="s">
        <v>223</v>
      </c>
      <c r="B1" t="s">
        <v>224</v>
      </c>
      <c r="C1" t="s">
        <v>225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152</v>
      </c>
      <c r="Q1" t="s">
        <v>153</v>
      </c>
      <c r="R1" t="s">
        <v>9</v>
      </c>
      <c r="S1" t="s">
        <v>5</v>
      </c>
      <c r="T1" t="s">
        <v>6</v>
      </c>
      <c r="U1" t="s">
        <v>792</v>
      </c>
      <c r="V1" t="s">
        <v>8</v>
      </c>
    </row>
    <row r="2" spans="1:22" x14ac:dyDescent="0.35">
      <c r="A2" s="1">
        <v>6.7</v>
      </c>
      <c r="B2" s="1">
        <v>20.079999999999998</v>
      </c>
      <c r="C2" s="1">
        <v>21.42</v>
      </c>
      <c r="D2" s="1">
        <v>21.74</v>
      </c>
      <c r="E2" s="1">
        <v>21.74</v>
      </c>
      <c r="F2" s="1">
        <v>21.74</v>
      </c>
      <c r="G2" s="1">
        <v>21.57</v>
      </c>
      <c r="H2" s="1">
        <v>21.51</v>
      </c>
      <c r="I2" s="1">
        <v>21.53</v>
      </c>
      <c r="J2" s="1">
        <v>21.4</v>
      </c>
      <c r="K2" s="1">
        <v>21.35</v>
      </c>
      <c r="L2" s="1">
        <v>21.54</v>
      </c>
      <c r="M2" s="1">
        <v>21.07</v>
      </c>
      <c r="N2" s="1">
        <v>20.98</v>
      </c>
      <c r="O2" s="1">
        <v>20.87</v>
      </c>
      <c r="P2" t="s">
        <v>25</v>
      </c>
      <c r="Q2" t="s">
        <v>525</v>
      </c>
      <c r="R2" s="1" t="s">
        <v>526</v>
      </c>
      <c r="S2" s="1">
        <f>IFERROR(AVERAGE(Rural[[#This Row],[‫دیسمبر‬‏]]:Rural[[#This Row],[‫اكتوبر‬‏]]),"")</f>
        <v>21.74</v>
      </c>
      <c r="T2" s="1">
        <f>IFERROR(AVERAGE(Rural[[#This Row],[‫سبتمبر‬‏]]:Rural[[#This Row],[‫یولیو‬‏]]),"")</f>
        <v>21.536666666666665</v>
      </c>
      <c r="U2" s="1">
        <f>IFERROR(AVERAGE(Rural[[#This Row],[‫یونیو‬‏]]:Rural[[#This Row],[‫ابریل‬‏]]),"")</f>
        <v>21.429999999999996</v>
      </c>
      <c r="V2" s="1">
        <f>IFERROR(AVERAGE(Rural[[#This Row],[‫مارس‬‏]]:Rural[[#This Row],[‫ینایر‬‏]]),"")</f>
        <v>20.973333333333333</v>
      </c>
    </row>
    <row r="3" spans="1:22" x14ac:dyDescent="0.35">
      <c r="A3" s="1">
        <v>19.5</v>
      </c>
      <c r="B3" s="1">
        <v>17.190000000000001</v>
      </c>
      <c r="C3" s="1">
        <v>20.54</v>
      </c>
      <c r="D3" s="1">
        <v>21.13</v>
      </c>
      <c r="E3" s="1">
        <v>21.08</v>
      </c>
      <c r="F3" s="1">
        <v>21.08</v>
      </c>
      <c r="G3" s="1">
        <v>20.91</v>
      </c>
      <c r="H3" s="1">
        <v>20.58</v>
      </c>
      <c r="I3" s="1">
        <v>20.440000000000001</v>
      </c>
      <c r="J3" s="1">
        <v>20.420000000000002</v>
      </c>
      <c r="K3" s="1">
        <v>20.34</v>
      </c>
      <c r="L3" s="1">
        <v>20.45</v>
      </c>
      <c r="M3" s="1">
        <v>20.22</v>
      </c>
      <c r="N3" s="1">
        <v>20.059999999999999</v>
      </c>
      <c r="O3" s="1">
        <v>19.79</v>
      </c>
      <c r="P3" t="s">
        <v>25</v>
      </c>
      <c r="Q3" t="s">
        <v>527</v>
      </c>
      <c r="R3" s="1" t="s">
        <v>526</v>
      </c>
      <c r="S3" s="1">
        <f>IFERROR(AVERAGE(Rural[[#This Row],[‫دیسمبر‬‏]]:Rural[[#This Row],[‫اكتوبر‬‏]]),"")</f>
        <v>21.096666666666664</v>
      </c>
      <c r="T3" s="1">
        <f>IFERROR(AVERAGE(Rural[[#This Row],[‫سبتمبر‬‏]]:Rural[[#This Row],[‫یولیو‬‏]]),"")</f>
        <v>20.643333333333331</v>
      </c>
      <c r="U3" s="1">
        <f>IFERROR(AVERAGE(Rural[[#This Row],[‫یونیو‬‏]]:Rural[[#This Row],[‫ابریل‬‏]]),"")</f>
        <v>20.403333333333336</v>
      </c>
      <c r="V3" s="1">
        <f>IFERROR(AVERAGE(Rural[[#This Row],[‫مارس‬‏]]:Rural[[#This Row],[‫ینایر‬‏]]),"")</f>
        <v>20.023333333333333</v>
      </c>
    </row>
    <row r="4" spans="1:22" x14ac:dyDescent="0.35">
      <c r="A4" s="1">
        <v>0.4</v>
      </c>
      <c r="B4" s="1">
        <v>51.92</v>
      </c>
      <c r="C4" s="1">
        <v>52.14</v>
      </c>
      <c r="D4" s="1">
        <v>52.12</v>
      </c>
      <c r="E4" s="1">
        <v>52.16</v>
      </c>
      <c r="F4" s="1">
        <v>52.16</v>
      </c>
      <c r="G4" s="1">
        <v>51.55</v>
      </c>
      <c r="H4" s="1">
        <v>51.94</v>
      </c>
      <c r="I4" s="1">
        <v>51.66</v>
      </c>
      <c r="J4" s="1">
        <v>51.83</v>
      </c>
      <c r="K4" s="1">
        <v>51.84</v>
      </c>
      <c r="L4" s="1">
        <v>52.44</v>
      </c>
      <c r="M4" s="1">
        <v>52.77</v>
      </c>
      <c r="N4" s="1">
        <v>52.59</v>
      </c>
      <c r="O4" s="1">
        <v>52.56</v>
      </c>
      <c r="P4" t="s">
        <v>25</v>
      </c>
      <c r="Q4" t="s">
        <v>528</v>
      </c>
      <c r="R4" s="1" t="s">
        <v>526</v>
      </c>
      <c r="S4" s="1">
        <f>IFERROR(AVERAGE(Rural[[#This Row],[‫دیسمبر‬‏]]:Rural[[#This Row],[‫اكتوبر‬‏]]),"")</f>
        <v>52.146666666666668</v>
      </c>
      <c r="T4" s="1">
        <f>IFERROR(AVERAGE(Rural[[#This Row],[‫سبتمبر‬‏]]:Rural[[#This Row],[‫یولیو‬‏]]),"")</f>
        <v>51.716666666666661</v>
      </c>
      <c r="U4" s="1">
        <f>IFERROR(AVERAGE(Rural[[#This Row],[‫یونیو‬‏]]:Rural[[#This Row],[‫ابریل‬‏]]),"")</f>
        <v>52.036666666666669</v>
      </c>
      <c r="V4" s="1">
        <f>IFERROR(AVERAGE(Rural[[#This Row],[‫مارس‬‏]]:Rural[[#This Row],[‫ینایر‬‏]]),"")</f>
        <v>52.640000000000008</v>
      </c>
    </row>
    <row r="5" spans="1:22" x14ac:dyDescent="0.35">
      <c r="A5" s="1">
        <v>6</v>
      </c>
      <c r="B5" s="1">
        <v>46.09</v>
      </c>
      <c r="C5" s="1">
        <v>48.87</v>
      </c>
      <c r="D5" s="1">
        <v>51.21</v>
      </c>
      <c r="E5" s="1">
        <v>50.56</v>
      </c>
      <c r="F5" s="1">
        <v>50.38</v>
      </c>
      <c r="G5" s="1">
        <v>49.93</v>
      </c>
      <c r="H5" s="1">
        <v>49.3</v>
      </c>
      <c r="I5" s="1">
        <v>49.22</v>
      </c>
      <c r="J5" s="1">
        <v>48.38</v>
      </c>
      <c r="K5" s="1">
        <v>48.44</v>
      </c>
      <c r="L5" s="1">
        <v>47.61</v>
      </c>
      <c r="M5" s="1">
        <v>47.47</v>
      </c>
      <c r="N5" s="1">
        <v>47.13</v>
      </c>
      <c r="O5" s="1">
        <v>46.8</v>
      </c>
      <c r="P5" t="s">
        <v>25</v>
      </c>
      <c r="Q5" t="s">
        <v>529</v>
      </c>
      <c r="R5" s="1" t="s">
        <v>526</v>
      </c>
      <c r="S5" s="1">
        <f>IFERROR(AVERAGE(Rural[[#This Row],[‫دیسمبر‬‏]]:Rural[[#This Row],[‫اكتوبر‬‏]]),"")</f>
        <v>50.716666666666669</v>
      </c>
      <c r="T5" s="1">
        <f>IFERROR(AVERAGE(Rural[[#This Row],[‫سبتمبر‬‏]]:Rural[[#This Row],[‫یولیو‬‏]]),"")</f>
        <v>49.483333333333327</v>
      </c>
      <c r="U5" s="1">
        <f>IFERROR(AVERAGE(Rural[[#This Row],[‫یونیو‬‏]]:Rural[[#This Row],[‫ابریل‬‏]]),"")</f>
        <v>48.143333333333338</v>
      </c>
      <c r="V5" s="1">
        <f>IFERROR(AVERAGE(Rural[[#This Row],[‫مارس‬‏]]:Rural[[#This Row],[‫ینایر‬‏]]),"")</f>
        <v>47.133333333333326</v>
      </c>
    </row>
    <row r="6" spans="1:22" x14ac:dyDescent="0.35">
      <c r="A6" s="1">
        <v>3.5</v>
      </c>
      <c r="B6" s="1">
        <v>39.82</v>
      </c>
      <c r="C6" s="1">
        <v>41.21</v>
      </c>
      <c r="D6" s="1">
        <v>42.75</v>
      </c>
      <c r="E6" s="1">
        <v>42.29</v>
      </c>
      <c r="F6" s="1">
        <v>42.16</v>
      </c>
      <c r="G6" s="1">
        <v>41.68</v>
      </c>
      <c r="H6" s="1">
        <v>41.19</v>
      </c>
      <c r="I6" s="1">
        <v>41.24</v>
      </c>
      <c r="J6" s="1">
        <v>40.880000000000003</v>
      </c>
      <c r="K6" s="1">
        <v>40.840000000000003</v>
      </c>
      <c r="L6" s="1">
        <v>40.700000000000003</v>
      </c>
      <c r="M6" s="1">
        <v>40.369999999999997</v>
      </c>
      <c r="N6" s="1">
        <v>40.380000000000003</v>
      </c>
      <c r="O6" s="1">
        <v>40.08</v>
      </c>
      <c r="P6" t="s">
        <v>25</v>
      </c>
      <c r="Q6" t="s">
        <v>530</v>
      </c>
      <c r="R6" s="1" t="s">
        <v>526</v>
      </c>
      <c r="S6" s="1">
        <f>IFERROR(AVERAGE(Rural[[#This Row],[‫دیسمبر‬‏]]:Rural[[#This Row],[‫اكتوبر‬‏]]),"")</f>
        <v>42.4</v>
      </c>
      <c r="T6" s="1">
        <f>IFERROR(AVERAGE(Rural[[#This Row],[‫سبتمبر‬‏]]:Rural[[#This Row],[‫یولیو‬‏]]),"")</f>
        <v>41.370000000000005</v>
      </c>
      <c r="U6" s="1">
        <f>IFERROR(AVERAGE(Rural[[#This Row],[‫یونیو‬‏]]:Rural[[#This Row],[‫ابریل‬‏]]),"")</f>
        <v>40.806666666666665</v>
      </c>
      <c r="V6" s="1">
        <f>IFERROR(AVERAGE(Rural[[#This Row],[‫مارس‬‏]]:Rural[[#This Row],[‫ینایر‬‏]]),"")</f>
        <v>40.276666666666664</v>
      </c>
    </row>
    <row r="7" spans="1:22" x14ac:dyDescent="0.35">
      <c r="A7" s="1">
        <v>2.4</v>
      </c>
      <c r="B7" s="1">
        <v>45.02</v>
      </c>
      <c r="C7" s="1">
        <v>46.13</v>
      </c>
      <c r="D7" s="1">
        <v>46.96</v>
      </c>
      <c r="E7" s="1">
        <v>46.5</v>
      </c>
      <c r="F7" s="1">
        <v>46.68</v>
      </c>
      <c r="G7" s="1">
        <v>46.48</v>
      </c>
      <c r="H7" s="1">
        <v>46.07</v>
      </c>
      <c r="I7" s="1">
        <v>46.01</v>
      </c>
      <c r="J7" s="1">
        <v>46.01</v>
      </c>
      <c r="K7" s="1">
        <v>46</v>
      </c>
      <c r="L7" s="1">
        <v>46.03</v>
      </c>
      <c r="M7" s="1">
        <v>45.61</v>
      </c>
      <c r="N7" s="1">
        <v>45.61</v>
      </c>
      <c r="O7" s="1">
        <v>45.54</v>
      </c>
      <c r="P7" t="s">
        <v>25</v>
      </c>
      <c r="Q7" t="s">
        <v>531</v>
      </c>
      <c r="R7" s="1" t="s">
        <v>526</v>
      </c>
      <c r="S7" s="1">
        <f>IFERROR(AVERAGE(Rural[[#This Row],[‫دیسمبر‬‏]]:Rural[[#This Row],[‫اكتوبر‬‏]]),"")</f>
        <v>46.713333333333338</v>
      </c>
      <c r="T7" s="1">
        <f>IFERROR(AVERAGE(Rural[[#This Row],[‫سبتمبر‬‏]]:Rural[[#This Row],[‫یولیو‬‏]]),"")</f>
        <v>46.186666666666667</v>
      </c>
      <c r="U7" s="1">
        <f>IFERROR(AVERAGE(Rural[[#This Row],[‫یونیو‬‏]]:Rural[[#This Row],[‫ابریل‬‏]]),"")</f>
        <v>46.013333333333328</v>
      </c>
      <c r="V7" s="1">
        <f>IFERROR(AVERAGE(Rural[[#This Row],[‫مارس‬‏]]:Rural[[#This Row],[‫ینایر‬‏]]),"")</f>
        <v>45.586666666666666</v>
      </c>
    </row>
    <row r="8" spans="1:22" x14ac:dyDescent="0.35">
      <c r="A8" s="1">
        <v>4</v>
      </c>
      <c r="B8" s="1">
        <v>58.26</v>
      </c>
      <c r="C8" s="1">
        <v>60.58</v>
      </c>
      <c r="D8" s="1">
        <v>61.46</v>
      </c>
      <c r="E8" s="1">
        <v>60.86</v>
      </c>
      <c r="F8" s="1">
        <v>60.7</v>
      </c>
      <c r="G8" s="1">
        <v>60.65</v>
      </c>
      <c r="H8" s="1">
        <v>61.12</v>
      </c>
      <c r="I8" s="1">
        <v>60.65</v>
      </c>
      <c r="J8" s="1">
        <v>60.8</v>
      </c>
      <c r="K8" s="1">
        <v>60.77</v>
      </c>
      <c r="L8" s="1">
        <v>59.96</v>
      </c>
      <c r="M8" s="1">
        <v>59.92</v>
      </c>
      <c r="N8" s="1">
        <v>60.05</v>
      </c>
      <c r="O8" s="1">
        <v>59.99</v>
      </c>
      <c r="P8" t="s">
        <v>25</v>
      </c>
      <c r="Q8" t="s">
        <v>532</v>
      </c>
      <c r="R8" s="1" t="s">
        <v>526</v>
      </c>
      <c r="S8" s="1">
        <f>IFERROR(AVERAGE(Rural[[#This Row],[‫دیسمبر‬‏]]:Rural[[#This Row],[‫اكتوبر‬‏]]),"")</f>
        <v>61.006666666666661</v>
      </c>
      <c r="T8" s="1">
        <f>IFERROR(AVERAGE(Rural[[#This Row],[‫سبتمبر‬‏]]:Rural[[#This Row],[‫یولیو‬‏]]),"")</f>
        <v>60.806666666666665</v>
      </c>
      <c r="U8" s="1">
        <f>IFERROR(AVERAGE(Rural[[#This Row],[‫یونیو‬‏]]:Rural[[#This Row],[‫ابریل‬‏]]),"")</f>
        <v>60.51</v>
      </c>
      <c r="V8" s="1">
        <f>IFERROR(AVERAGE(Rural[[#This Row],[‫مارس‬‏]]:Rural[[#This Row],[‫ینایر‬‏]]),"")</f>
        <v>59.986666666666672</v>
      </c>
    </row>
    <row r="9" spans="1:22" x14ac:dyDescent="0.35">
      <c r="A9" s="1">
        <v>2</v>
      </c>
      <c r="B9" s="1">
        <v>57.76</v>
      </c>
      <c r="C9" s="1">
        <v>58.89</v>
      </c>
      <c r="D9" s="1">
        <v>59.7</v>
      </c>
      <c r="E9" s="1">
        <v>59.38</v>
      </c>
      <c r="F9" s="1">
        <v>59.46</v>
      </c>
      <c r="G9" s="1">
        <v>59.18</v>
      </c>
      <c r="H9" s="1">
        <v>59.02</v>
      </c>
      <c r="I9" s="1">
        <v>58.54</v>
      </c>
      <c r="J9" s="1">
        <v>58.91</v>
      </c>
      <c r="K9" s="1">
        <v>58.92</v>
      </c>
      <c r="L9" s="1">
        <v>59.15</v>
      </c>
      <c r="M9" s="1">
        <v>58.22</v>
      </c>
      <c r="N9" s="1">
        <v>58.14</v>
      </c>
      <c r="O9" s="1">
        <v>58.04</v>
      </c>
      <c r="P9" t="s">
        <v>25</v>
      </c>
      <c r="Q9" t="s">
        <v>533</v>
      </c>
      <c r="R9" s="1" t="s">
        <v>526</v>
      </c>
      <c r="S9" s="1">
        <f>IFERROR(AVERAGE(Rural[[#This Row],[‫دیسمبر‬‏]]:Rural[[#This Row],[‫اكتوبر‬‏]]),"")</f>
        <v>59.513333333333343</v>
      </c>
      <c r="T9" s="1">
        <f>IFERROR(AVERAGE(Rural[[#This Row],[‫سبتمبر‬‏]]:Rural[[#This Row],[‫یولیو‬‏]]),"")</f>
        <v>58.913333333333334</v>
      </c>
      <c r="U9" s="1">
        <f>IFERROR(AVERAGE(Rural[[#This Row],[‫یونیو‬‏]]:Rural[[#This Row],[‫ابریل‬‏]]),"")</f>
        <v>58.993333333333332</v>
      </c>
      <c r="V9" s="1">
        <f>IFERROR(AVERAGE(Rural[[#This Row],[‫مارس‬‏]]:Rural[[#This Row],[‫ینایر‬‏]]),"")</f>
        <v>58.133333333333333</v>
      </c>
    </row>
    <row r="10" spans="1:22" x14ac:dyDescent="0.35">
      <c r="A10" s="1">
        <v>-0.4</v>
      </c>
      <c r="B10" s="1">
        <v>62.16</v>
      </c>
      <c r="C10" s="1">
        <v>61.89</v>
      </c>
      <c r="D10" s="1">
        <v>62.24</v>
      </c>
      <c r="E10" s="1">
        <v>62.17</v>
      </c>
      <c r="F10" s="1">
        <v>62.01</v>
      </c>
      <c r="G10" s="1">
        <v>62.02</v>
      </c>
      <c r="H10" s="1">
        <v>61.42</v>
      </c>
      <c r="I10" s="1">
        <v>61.62</v>
      </c>
      <c r="J10" s="1">
        <v>61.92</v>
      </c>
      <c r="K10" s="1">
        <v>61.92</v>
      </c>
      <c r="L10" s="1">
        <v>62.25</v>
      </c>
      <c r="M10" s="1">
        <v>61.79</v>
      </c>
      <c r="N10" s="1">
        <v>61.59</v>
      </c>
      <c r="O10" s="1">
        <v>61.79</v>
      </c>
      <c r="P10" t="s">
        <v>25</v>
      </c>
      <c r="Q10" t="s">
        <v>534</v>
      </c>
      <c r="R10" s="1" t="s">
        <v>526</v>
      </c>
      <c r="S10" s="1">
        <f>IFERROR(AVERAGE(Rural[[#This Row],[‫دیسمبر‬‏]]:Rural[[#This Row],[‫اكتوبر‬‏]]),"")</f>
        <v>62.139999999999993</v>
      </c>
      <c r="T10" s="1">
        <f>IFERROR(AVERAGE(Rural[[#This Row],[‫سبتمبر‬‏]]:Rural[[#This Row],[‫یولیو‬‏]]),"")</f>
        <v>61.686666666666667</v>
      </c>
      <c r="U10" s="1">
        <f>IFERROR(AVERAGE(Rural[[#This Row],[‫یونیو‬‏]]:Rural[[#This Row],[‫ابریل‬‏]]),"")</f>
        <v>62.03</v>
      </c>
      <c r="V10" s="1">
        <f>IFERROR(AVERAGE(Rural[[#This Row],[‫مارس‬‏]]:Rural[[#This Row],[‫ینایر‬‏]]),"")</f>
        <v>61.723333333333329</v>
      </c>
    </row>
    <row r="11" spans="1:22" x14ac:dyDescent="0.35">
      <c r="A11" s="1">
        <v>-3.1</v>
      </c>
      <c r="B11" s="1">
        <v>74.67</v>
      </c>
      <c r="C11" s="1">
        <v>72.349999999999994</v>
      </c>
      <c r="D11" s="1">
        <v>71.27</v>
      </c>
      <c r="E11" s="1">
        <v>71.64</v>
      </c>
      <c r="F11" s="1">
        <v>73.13</v>
      </c>
      <c r="G11" s="1">
        <v>73.14</v>
      </c>
      <c r="H11" s="1">
        <v>72.92</v>
      </c>
      <c r="I11" s="1">
        <v>72.989999999999995</v>
      </c>
      <c r="J11" s="1">
        <v>72.599999999999994</v>
      </c>
      <c r="K11" s="1">
        <v>72.84</v>
      </c>
      <c r="L11" s="1">
        <v>72.06</v>
      </c>
      <c r="M11" s="1">
        <v>72.680000000000007</v>
      </c>
      <c r="N11" s="1">
        <v>72.14</v>
      </c>
      <c r="O11" s="1">
        <v>70.78</v>
      </c>
      <c r="P11" t="s">
        <v>25</v>
      </c>
      <c r="Q11" t="s">
        <v>535</v>
      </c>
      <c r="R11" s="1" t="s">
        <v>526</v>
      </c>
      <c r="S11" s="1">
        <f>IFERROR(AVERAGE(Rural[[#This Row],[‫دیسمبر‬‏]]:Rural[[#This Row],[‫اكتوبر‬‏]]),"")</f>
        <v>72.013333333333335</v>
      </c>
      <c r="T11" s="1">
        <f>IFERROR(AVERAGE(Rural[[#This Row],[‫سبتمبر‬‏]]:Rural[[#This Row],[‫یولیو‬‏]]),"")</f>
        <v>73.016666666666666</v>
      </c>
      <c r="U11" s="1">
        <f>IFERROR(AVERAGE(Rural[[#This Row],[‫یونیو‬‏]]:Rural[[#This Row],[‫ابریل‬‏]]),"")</f>
        <v>72.5</v>
      </c>
      <c r="V11" s="1">
        <f>IFERROR(AVERAGE(Rural[[#This Row],[‫مارس‬‏]]:Rural[[#This Row],[‫ینایر‬‏]]),"")</f>
        <v>71.86666666666666</v>
      </c>
    </row>
    <row r="12" spans="1:22" x14ac:dyDescent="0.35">
      <c r="A12" s="1">
        <v>-0.6</v>
      </c>
      <c r="B12" s="1">
        <v>65.19</v>
      </c>
      <c r="C12" s="1">
        <v>64.790000000000006</v>
      </c>
      <c r="D12" s="1">
        <v>63.82</v>
      </c>
      <c r="E12" s="1">
        <v>64.040000000000006</v>
      </c>
      <c r="F12" s="1">
        <v>65.650000000000006</v>
      </c>
      <c r="G12" s="1">
        <v>65.599999999999994</v>
      </c>
      <c r="H12" s="1">
        <v>65.27</v>
      </c>
      <c r="I12" s="1">
        <v>65.040000000000006</v>
      </c>
      <c r="J12" s="1">
        <v>65.09</v>
      </c>
      <c r="K12" s="1">
        <v>65.19</v>
      </c>
      <c r="L12" s="1">
        <v>63.63</v>
      </c>
      <c r="M12" s="1">
        <v>65.12</v>
      </c>
      <c r="N12" s="1">
        <v>65.09</v>
      </c>
      <c r="O12" s="1">
        <v>63.96</v>
      </c>
      <c r="P12" t="s">
        <v>25</v>
      </c>
      <c r="Q12" t="s">
        <v>536</v>
      </c>
      <c r="R12" s="1" t="s">
        <v>526</v>
      </c>
      <c r="S12" s="1">
        <f>IFERROR(AVERAGE(Rural[[#This Row],[‫دیسمبر‬‏]]:Rural[[#This Row],[‫اكتوبر‬‏]]),"")</f>
        <v>64.503333333333345</v>
      </c>
      <c r="T12" s="1">
        <f>IFERROR(AVERAGE(Rural[[#This Row],[‫سبتمبر‬‏]]:Rural[[#This Row],[‫یولیو‬‏]]),"")</f>
        <v>65.303333333333342</v>
      </c>
      <c r="U12" s="1">
        <f>IFERROR(AVERAGE(Rural[[#This Row],[‫یونیو‬‏]]:Rural[[#This Row],[‫ابریل‬‏]]),"")</f>
        <v>64.63666666666667</v>
      </c>
      <c r="V12" s="1">
        <f>IFERROR(AVERAGE(Rural[[#This Row],[‫مارس‬‏]]:Rural[[#This Row],[‫ینایر‬‏]]),"")</f>
        <v>64.723333333333343</v>
      </c>
    </row>
    <row r="13" spans="1:22" x14ac:dyDescent="0.35">
      <c r="A13" s="1">
        <v>-2.7</v>
      </c>
      <c r="B13" s="1">
        <v>78.150000000000006</v>
      </c>
      <c r="C13" s="1">
        <v>76.03</v>
      </c>
      <c r="D13" s="1">
        <v>75.260000000000005</v>
      </c>
      <c r="E13" s="1">
        <v>75.42</v>
      </c>
      <c r="F13" s="1">
        <v>76.06</v>
      </c>
      <c r="G13" s="1">
        <v>75.75</v>
      </c>
      <c r="H13" s="1">
        <v>75.78</v>
      </c>
      <c r="I13" s="1">
        <v>76.14</v>
      </c>
      <c r="J13" s="1">
        <v>76.209999999999994</v>
      </c>
      <c r="K13" s="1">
        <v>76.45</v>
      </c>
      <c r="L13" s="1">
        <v>75.44</v>
      </c>
      <c r="M13" s="1">
        <v>75.959999999999994</v>
      </c>
      <c r="N13" s="1">
        <v>76.17</v>
      </c>
      <c r="O13" s="1">
        <v>77.680000000000007</v>
      </c>
      <c r="P13" t="s">
        <v>25</v>
      </c>
      <c r="Q13" t="s">
        <v>537</v>
      </c>
      <c r="R13" s="1" t="s">
        <v>526</v>
      </c>
      <c r="S13" s="1">
        <f>IFERROR(AVERAGE(Rural[[#This Row],[‫دیسمبر‬‏]]:Rural[[#This Row],[‫اكتوبر‬‏]]),"")</f>
        <v>75.58</v>
      </c>
      <c r="T13" s="1">
        <f>IFERROR(AVERAGE(Rural[[#This Row],[‫سبتمبر‬‏]]:Rural[[#This Row],[‫یولیو‬‏]]),"")</f>
        <v>75.89</v>
      </c>
      <c r="U13" s="1">
        <f>IFERROR(AVERAGE(Rural[[#This Row],[‫یونیو‬‏]]:Rural[[#This Row],[‫ابریل‬‏]]),"")</f>
        <v>76.033333333333331</v>
      </c>
      <c r="V13" s="1">
        <f>IFERROR(AVERAGE(Rural[[#This Row],[‫مارس‬‏]]:Rural[[#This Row],[‫ینایر‬‏]]),"")</f>
        <v>76.603333333333339</v>
      </c>
    </row>
    <row r="14" spans="1:22" x14ac:dyDescent="0.35">
      <c r="A14" s="1">
        <v>5.2</v>
      </c>
      <c r="B14" s="1">
        <v>50.71</v>
      </c>
      <c r="C14" s="1">
        <v>53.37</v>
      </c>
      <c r="D14" s="1">
        <v>54.36</v>
      </c>
      <c r="E14" s="1">
        <v>54.11</v>
      </c>
      <c r="F14" s="1">
        <v>54.21</v>
      </c>
      <c r="G14" s="1">
        <v>53.76</v>
      </c>
      <c r="H14" s="1">
        <v>53.49</v>
      </c>
      <c r="I14" s="1">
        <v>53.57</v>
      </c>
      <c r="J14" s="1">
        <v>53.36</v>
      </c>
      <c r="K14" s="1">
        <v>53.17</v>
      </c>
      <c r="L14" s="1">
        <v>52.81</v>
      </c>
      <c r="M14" s="1">
        <v>52.61</v>
      </c>
      <c r="N14" s="1">
        <v>52.66</v>
      </c>
      <c r="O14" s="1">
        <v>52.32</v>
      </c>
      <c r="P14" t="s">
        <v>25</v>
      </c>
      <c r="Q14" t="s">
        <v>538</v>
      </c>
      <c r="R14" s="1" t="s">
        <v>526</v>
      </c>
      <c r="S14" s="1">
        <f>IFERROR(AVERAGE(Rural[[#This Row],[‫دیسمبر‬‏]]:Rural[[#This Row],[‫اكتوبر‬‏]]),"")</f>
        <v>54.226666666666667</v>
      </c>
      <c r="T14" s="1">
        <f>IFERROR(AVERAGE(Rural[[#This Row],[‫سبتمبر‬‏]]:Rural[[#This Row],[‫یولیو‬‏]]),"")</f>
        <v>53.606666666666662</v>
      </c>
      <c r="U14" s="1">
        <f>IFERROR(AVERAGE(Rural[[#This Row],[‫یونیو‬‏]]:Rural[[#This Row],[‫ابریل‬‏]]),"")</f>
        <v>53.113333333333337</v>
      </c>
      <c r="V14" s="1">
        <f>IFERROR(AVERAGE(Rural[[#This Row],[‫مارس‬‏]]:Rural[[#This Row],[‫ینایر‬‏]]),"")</f>
        <v>52.53</v>
      </c>
    </row>
    <row r="15" spans="1:22" x14ac:dyDescent="0.35">
      <c r="A15" s="1">
        <v>3.4</v>
      </c>
      <c r="B15" s="1">
        <v>66.63</v>
      </c>
      <c r="C15" s="1">
        <v>68.930000000000007</v>
      </c>
      <c r="D15" s="1">
        <v>70.58</v>
      </c>
      <c r="E15" s="1">
        <v>69.349999999999994</v>
      </c>
      <c r="F15" s="1">
        <v>69.41</v>
      </c>
      <c r="G15" s="1">
        <v>69.31</v>
      </c>
      <c r="H15" s="1">
        <v>69.239999999999995</v>
      </c>
      <c r="I15" s="1">
        <v>69.510000000000005</v>
      </c>
      <c r="J15" s="1">
        <v>69.3</v>
      </c>
      <c r="K15" s="1">
        <v>69.45</v>
      </c>
      <c r="L15" s="1">
        <v>67.83</v>
      </c>
      <c r="M15" s="1">
        <v>67.459999999999994</v>
      </c>
      <c r="N15" s="1">
        <v>67.989999999999995</v>
      </c>
      <c r="O15" s="1">
        <v>67.680000000000007</v>
      </c>
      <c r="P15" t="s">
        <v>25</v>
      </c>
      <c r="Q15" t="s">
        <v>539</v>
      </c>
      <c r="R15" s="1" t="s">
        <v>526</v>
      </c>
      <c r="S15" s="1">
        <f>IFERROR(AVERAGE(Rural[[#This Row],[‫دیسمبر‬‏]]:Rural[[#This Row],[‫اكتوبر‬‏]]),"")</f>
        <v>69.78</v>
      </c>
      <c r="T15" s="1">
        <f>IFERROR(AVERAGE(Rural[[#This Row],[‫سبتمبر‬‏]]:Rural[[#This Row],[‫یولیو‬‏]]),"")</f>
        <v>69.353333333333339</v>
      </c>
      <c r="U15" s="1">
        <f>IFERROR(AVERAGE(Rural[[#This Row],[‫یونیو‬‏]]:Rural[[#This Row],[‫ابریل‬‏]]),"")</f>
        <v>68.86</v>
      </c>
      <c r="V15" s="1">
        <f>IFERROR(AVERAGE(Rural[[#This Row],[‫مارس‬‏]]:Rural[[#This Row],[‫ینایر‬‏]]),"")</f>
        <v>67.709999999999994</v>
      </c>
    </row>
    <row r="16" spans="1:22" x14ac:dyDescent="0.35">
      <c r="A16" s="1">
        <v>4.7</v>
      </c>
      <c r="B16" s="1">
        <v>49.12</v>
      </c>
      <c r="C16" s="1">
        <v>51.45</v>
      </c>
      <c r="D16" s="1">
        <v>52.89</v>
      </c>
      <c r="E16" s="1">
        <v>52.26</v>
      </c>
      <c r="F16" s="1">
        <v>52.06</v>
      </c>
      <c r="G16" s="1">
        <v>51.93</v>
      </c>
      <c r="H16" s="1">
        <v>51.61</v>
      </c>
      <c r="I16" s="1">
        <v>51.68</v>
      </c>
      <c r="J16" s="1">
        <v>51.31</v>
      </c>
      <c r="K16" s="1">
        <v>51.16</v>
      </c>
      <c r="L16" s="1">
        <v>52.65</v>
      </c>
      <c r="M16" s="1">
        <v>49.54</v>
      </c>
      <c r="N16" s="1">
        <v>50.22</v>
      </c>
      <c r="O16" s="1">
        <v>50.08</v>
      </c>
      <c r="P16" t="s">
        <v>25</v>
      </c>
      <c r="Q16" t="s">
        <v>540</v>
      </c>
      <c r="R16" s="1" t="s">
        <v>526</v>
      </c>
      <c r="S16" s="1">
        <f>IFERROR(AVERAGE(Rural[[#This Row],[‫دیسمبر‬‏]]:Rural[[#This Row],[‫اكتوبر‬‏]]),"")</f>
        <v>52.403333333333336</v>
      </c>
      <c r="T16" s="1">
        <f>IFERROR(AVERAGE(Rural[[#This Row],[‫سبتمبر‬‏]]:Rural[[#This Row],[‫یولیو‬‏]]),"")</f>
        <v>51.74</v>
      </c>
      <c r="U16" s="1">
        <f>IFERROR(AVERAGE(Rural[[#This Row],[‫یونیو‬‏]]:Rural[[#This Row],[‫ابریل‬‏]]),"")</f>
        <v>51.706666666666671</v>
      </c>
      <c r="V16" s="1">
        <f>IFERROR(AVERAGE(Rural[[#This Row],[‫مارس‬‏]]:Rural[[#This Row],[‫ینایر‬‏]]),"")</f>
        <v>49.946666666666658</v>
      </c>
    </row>
    <row r="17" spans="1:22" x14ac:dyDescent="0.35">
      <c r="A17" s="1">
        <v>0.5</v>
      </c>
      <c r="B17" s="1">
        <v>45.03</v>
      </c>
      <c r="C17" s="1">
        <v>45.25</v>
      </c>
      <c r="D17" s="1">
        <v>45.73</v>
      </c>
      <c r="E17" s="1">
        <v>45.61</v>
      </c>
      <c r="F17" s="1">
        <v>45.57</v>
      </c>
      <c r="G17" s="1">
        <v>45.49</v>
      </c>
      <c r="H17" s="1">
        <v>45.31</v>
      </c>
      <c r="I17" s="1">
        <v>45.44</v>
      </c>
      <c r="J17" s="1">
        <v>45.2</v>
      </c>
      <c r="K17" s="1">
        <v>45.24</v>
      </c>
      <c r="L17" s="1">
        <v>45.75</v>
      </c>
      <c r="M17" s="1">
        <v>44.54</v>
      </c>
      <c r="N17" s="1">
        <v>44.64</v>
      </c>
      <c r="O17" s="1">
        <v>44.51</v>
      </c>
      <c r="P17" t="s">
        <v>25</v>
      </c>
      <c r="Q17" t="s">
        <v>541</v>
      </c>
      <c r="R17" s="1" t="s">
        <v>526</v>
      </c>
      <c r="S17" s="1">
        <f>IFERROR(AVERAGE(Rural[[#This Row],[‫دیسمبر‬‏]]:Rural[[#This Row],[‫اكتوبر‬‏]]),"")</f>
        <v>45.636666666666663</v>
      </c>
      <c r="T17" s="1">
        <f>IFERROR(AVERAGE(Rural[[#This Row],[‫سبتمبر‬‏]]:Rural[[#This Row],[‫یولیو‬‏]]),"")</f>
        <v>45.413333333333334</v>
      </c>
      <c r="U17" s="1">
        <f>IFERROR(AVERAGE(Rural[[#This Row],[‫یونیو‬‏]]:Rural[[#This Row],[‫ابریل‬‏]]),"")</f>
        <v>45.396666666666668</v>
      </c>
      <c r="V17" s="1">
        <f>IFERROR(AVERAGE(Rural[[#This Row],[‫مارس‬‏]]:Rural[[#This Row],[‫ینایر‬‏]]),"")</f>
        <v>44.563333333333333</v>
      </c>
    </row>
    <row r="18" spans="1:22" x14ac:dyDescent="0.35">
      <c r="A18" s="1">
        <v>4.3</v>
      </c>
      <c r="B18" s="1">
        <v>16.440000000000001</v>
      </c>
      <c r="C18" s="1">
        <v>17.149999999999999</v>
      </c>
      <c r="D18" s="1">
        <v>16.190000000000001</v>
      </c>
      <c r="E18" s="1">
        <v>17.93</v>
      </c>
      <c r="F18" s="1">
        <v>21.94</v>
      </c>
      <c r="G18" s="1">
        <v>22.37</v>
      </c>
      <c r="H18" s="1">
        <v>16.73</v>
      </c>
      <c r="I18" s="1">
        <v>14.39</v>
      </c>
      <c r="J18" s="1">
        <v>15.35</v>
      </c>
      <c r="K18" s="1">
        <v>13.88</v>
      </c>
      <c r="L18" s="1">
        <v>18.43</v>
      </c>
      <c r="M18" s="1">
        <v>18.16</v>
      </c>
      <c r="N18" s="1">
        <v>14.74</v>
      </c>
      <c r="O18" s="1">
        <v>15.71</v>
      </c>
      <c r="P18" t="s">
        <v>25</v>
      </c>
      <c r="Q18" t="s">
        <v>542</v>
      </c>
      <c r="R18" s="1" t="s">
        <v>526</v>
      </c>
      <c r="S18" s="1">
        <f>IFERROR(AVERAGE(Rural[[#This Row],[‫دیسمبر‬‏]]:Rural[[#This Row],[‫اكتوبر‬‏]]),"")</f>
        <v>18.686666666666667</v>
      </c>
      <c r="T18" s="1">
        <f>IFERROR(AVERAGE(Rural[[#This Row],[‫سبتمبر‬‏]]:Rural[[#This Row],[‫یولیو‬‏]]),"")</f>
        <v>17.830000000000002</v>
      </c>
      <c r="U18" s="1">
        <f>IFERROR(AVERAGE(Rural[[#This Row],[‫یونیو‬‏]]:Rural[[#This Row],[‫ابریل‬‏]]),"")</f>
        <v>15.886666666666665</v>
      </c>
      <c r="V18" s="1">
        <f>IFERROR(AVERAGE(Rural[[#This Row],[‫مارس‬‏]]:Rural[[#This Row],[‫ینایر‬‏]]),"")</f>
        <v>16.203333333333333</v>
      </c>
    </row>
    <row r="19" spans="1:22" x14ac:dyDescent="0.35">
      <c r="A19" s="1">
        <v>12.7</v>
      </c>
      <c r="B19" s="1">
        <v>15.37</v>
      </c>
      <c r="C19" s="1">
        <v>17.32</v>
      </c>
      <c r="D19" s="1">
        <v>18.02</v>
      </c>
      <c r="E19" s="1">
        <v>18.13</v>
      </c>
      <c r="F19" s="1">
        <v>19.559999999999999</v>
      </c>
      <c r="G19" s="1">
        <v>18.8</v>
      </c>
      <c r="H19" s="1"/>
      <c r="I19" s="1"/>
      <c r="J19" s="1"/>
      <c r="K19" s="1"/>
      <c r="L19" s="1">
        <v>16.97</v>
      </c>
      <c r="M19" s="1">
        <v>16.809999999999999</v>
      </c>
      <c r="N19" s="1">
        <v>15.51</v>
      </c>
      <c r="O19" s="1">
        <v>14.78</v>
      </c>
      <c r="P19" t="s">
        <v>25</v>
      </c>
      <c r="Q19" t="s">
        <v>543</v>
      </c>
      <c r="R19" s="1" t="s">
        <v>526</v>
      </c>
      <c r="S19" s="1">
        <f>IFERROR(AVERAGE(Rural[[#This Row],[‫دیسمبر‬‏]]:Rural[[#This Row],[‫اكتوبر‬‏]]),"")</f>
        <v>18.569999999999997</v>
      </c>
      <c r="T19" s="1">
        <f>IFERROR(AVERAGE(Rural[[#This Row],[‫سبتمبر‬‏]]:Rural[[#This Row],[‫یولیو‬‏]]),"")</f>
        <v>18.8</v>
      </c>
      <c r="U19" s="1">
        <f>IFERROR(AVERAGE(Rural[[#This Row],[‫یونیو‬‏]]:Rural[[#This Row],[‫ابریل‬‏]]),"")</f>
        <v>16.97</v>
      </c>
      <c r="V19" s="1">
        <f>IFERROR(AVERAGE(Rural[[#This Row],[‫مارس‬‏]]:Rural[[#This Row],[‫ینایر‬‏]]),"")</f>
        <v>15.700000000000001</v>
      </c>
    </row>
    <row r="20" spans="1:22" x14ac:dyDescent="0.35">
      <c r="A20" s="1">
        <v>89.9</v>
      </c>
      <c r="B20" s="1">
        <v>20.49</v>
      </c>
      <c r="C20" s="1">
        <v>38.909999999999997</v>
      </c>
      <c r="D20" s="1">
        <v>39.54</v>
      </c>
      <c r="E20" s="1">
        <v>42.17</v>
      </c>
      <c r="F20" s="1">
        <v>46.53</v>
      </c>
      <c r="G20" s="1">
        <v>46.61</v>
      </c>
      <c r="H20" s="1">
        <v>47.26</v>
      </c>
      <c r="I20" s="1">
        <v>44.21</v>
      </c>
      <c r="J20" s="1">
        <v>42.96</v>
      </c>
      <c r="K20" s="1">
        <v>41.18</v>
      </c>
      <c r="L20" s="1">
        <v>33.54</v>
      </c>
      <c r="M20" s="1">
        <v>32.549999999999997</v>
      </c>
      <c r="N20" s="1">
        <v>25.08</v>
      </c>
      <c r="O20" s="1">
        <v>25.33</v>
      </c>
      <c r="P20" t="s">
        <v>25</v>
      </c>
      <c r="Q20" t="s">
        <v>544</v>
      </c>
      <c r="R20" s="1" t="s">
        <v>526</v>
      </c>
      <c r="S20" s="1">
        <f>IFERROR(AVERAGE(Rural[[#This Row],[‫دیسمبر‬‏]]:Rural[[#This Row],[‫اكتوبر‬‏]]),"")</f>
        <v>42.74666666666667</v>
      </c>
      <c r="T20" s="1">
        <f>IFERROR(AVERAGE(Rural[[#This Row],[‫سبتمبر‬‏]]:Rural[[#This Row],[‫یولیو‬‏]]),"")</f>
        <v>46.026666666666671</v>
      </c>
      <c r="U20" s="1">
        <f>IFERROR(AVERAGE(Rural[[#This Row],[‫یونیو‬‏]]:Rural[[#This Row],[‫ابریل‬‏]]),"")</f>
        <v>39.226666666666667</v>
      </c>
      <c r="V20" s="1">
        <f>IFERROR(AVERAGE(Rural[[#This Row],[‫مارس‬‏]]:Rural[[#This Row],[‫ینایر‬‏]]),"")</f>
        <v>27.653333333333332</v>
      </c>
    </row>
    <row r="21" spans="1:22" x14ac:dyDescent="0.35">
      <c r="A21" s="1">
        <v>69</v>
      </c>
      <c r="B21" s="1">
        <v>18.09</v>
      </c>
      <c r="C21" s="1">
        <v>30.57</v>
      </c>
      <c r="D21" s="1">
        <v>30.58</v>
      </c>
      <c r="E21" s="1">
        <v>33.630000000000003</v>
      </c>
      <c r="F21" s="1">
        <v>34.89</v>
      </c>
      <c r="G21" s="1">
        <v>36.020000000000003</v>
      </c>
      <c r="H21" s="1">
        <v>35.43</v>
      </c>
      <c r="I21" s="1">
        <v>34.909999999999997</v>
      </c>
      <c r="J21" s="1">
        <v>34.82</v>
      </c>
      <c r="K21" s="1">
        <v>32.93</v>
      </c>
      <c r="L21" s="1">
        <v>25.37</v>
      </c>
      <c r="M21" s="1">
        <v>25.34</v>
      </c>
      <c r="N21" s="1">
        <v>21.78</v>
      </c>
      <c r="O21" s="1">
        <v>21.17</v>
      </c>
      <c r="P21" t="s">
        <v>25</v>
      </c>
      <c r="Q21" t="s">
        <v>545</v>
      </c>
      <c r="R21" s="1" t="s">
        <v>526</v>
      </c>
      <c r="S21" s="1">
        <f>IFERROR(AVERAGE(Rural[[#This Row],[‫دیسمبر‬‏]]:Rural[[#This Row],[‫اكتوبر‬‏]]),"")</f>
        <v>33.033333333333339</v>
      </c>
      <c r="T21" s="1">
        <f>IFERROR(AVERAGE(Rural[[#This Row],[‫سبتمبر‬‏]]:Rural[[#This Row],[‫یولیو‬‏]]),"")</f>
        <v>35.453333333333333</v>
      </c>
      <c r="U21" s="1">
        <f>IFERROR(AVERAGE(Rural[[#This Row],[‫یونیو‬‏]]:Rural[[#This Row],[‫ابریل‬‏]]),"")</f>
        <v>31.040000000000003</v>
      </c>
      <c r="V21" s="1">
        <f>IFERROR(AVERAGE(Rural[[#This Row],[‫مارس‬‏]]:Rural[[#This Row],[‫ینایر‬‏]]),"")</f>
        <v>22.763333333333335</v>
      </c>
    </row>
    <row r="22" spans="1:22" x14ac:dyDescent="0.35">
      <c r="A22" s="1">
        <v>123.9</v>
      </c>
      <c r="B22" s="1">
        <v>19.829999999999998</v>
      </c>
      <c r="C22" s="1">
        <v>44.39</v>
      </c>
      <c r="D22" s="1">
        <v>29.16</v>
      </c>
      <c r="E22" s="1">
        <v>23.9</v>
      </c>
      <c r="F22" s="1">
        <v>23.98</v>
      </c>
      <c r="G22" s="1">
        <v>24.38</v>
      </c>
      <c r="H22" s="1">
        <v>28.96</v>
      </c>
      <c r="I22" s="1">
        <v>41.16</v>
      </c>
      <c r="J22" s="1">
        <v>65.12</v>
      </c>
      <c r="K22" s="1">
        <v>76.64</v>
      </c>
      <c r="L22" s="1">
        <v>61.48</v>
      </c>
      <c r="M22" s="1">
        <v>62.14</v>
      </c>
      <c r="N22" s="1">
        <v>49.55</v>
      </c>
      <c r="O22" s="1">
        <v>46.23</v>
      </c>
      <c r="P22" t="s">
        <v>25</v>
      </c>
      <c r="Q22" t="s">
        <v>546</v>
      </c>
      <c r="R22" s="1" t="s">
        <v>526</v>
      </c>
      <c r="S22" s="1">
        <f>IFERROR(AVERAGE(Rural[[#This Row],[‫دیسمبر‬‏]]:Rural[[#This Row],[‫اكتوبر‬‏]]),"")</f>
        <v>25.680000000000003</v>
      </c>
      <c r="T22" s="1">
        <f>IFERROR(AVERAGE(Rural[[#This Row],[‫سبتمبر‬‏]]:Rural[[#This Row],[‫یولیو‬‏]]),"")</f>
        <v>31.5</v>
      </c>
      <c r="U22" s="1">
        <f>IFERROR(AVERAGE(Rural[[#This Row],[‫یونیو‬‏]]:Rural[[#This Row],[‫ابریل‬‏]]),"")</f>
        <v>67.746666666666655</v>
      </c>
      <c r="V22" s="1">
        <f>IFERROR(AVERAGE(Rural[[#This Row],[‫مارس‬‏]]:Rural[[#This Row],[‫ینایر‬‏]]),"")</f>
        <v>52.639999999999993</v>
      </c>
    </row>
    <row r="23" spans="1:22" x14ac:dyDescent="0.35">
      <c r="A23" s="1">
        <v>11.5</v>
      </c>
      <c r="B23" s="1">
        <v>15.21</v>
      </c>
      <c r="C23" s="1">
        <v>16.97</v>
      </c>
      <c r="D23" s="1">
        <v>18.649999999999999</v>
      </c>
      <c r="E23" s="1">
        <v>19.53</v>
      </c>
      <c r="F23" s="1">
        <v>18.61</v>
      </c>
      <c r="G23" s="1"/>
      <c r="H23" s="1"/>
      <c r="I23" s="1"/>
      <c r="J23" s="1"/>
      <c r="K23" s="1">
        <v>17.010000000000002</v>
      </c>
      <c r="L23" s="1">
        <v>15.97</v>
      </c>
      <c r="M23" s="1">
        <v>15.56</v>
      </c>
      <c r="N23" s="1">
        <v>14.37</v>
      </c>
      <c r="O23" s="1">
        <v>16.02</v>
      </c>
      <c r="P23" t="s">
        <v>25</v>
      </c>
      <c r="Q23" t="s">
        <v>547</v>
      </c>
      <c r="R23" s="1" t="s">
        <v>526</v>
      </c>
      <c r="S23" s="1">
        <f>IFERROR(AVERAGE(Rural[[#This Row],[‫دیسمبر‬‏]]:Rural[[#This Row],[‫اكتوبر‬‏]]),"")</f>
        <v>18.93</v>
      </c>
      <c r="T23" s="1" t="str">
        <f>IFERROR(AVERAGE(Rural[[#This Row],[‫سبتمبر‬‏]]:Rural[[#This Row],[‫یولیو‬‏]]),"")</f>
        <v/>
      </c>
      <c r="U23" s="1">
        <f>IFERROR(AVERAGE(Rural[[#This Row],[‫یونیو‬‏]]:Rural[[#This Row],[‫ابریل‬‏]]),"")</f>
        <v>16.490000000000002</v>
      </c>
      <c r="V23" s="1">
        <f>IFERROR(AVERAGE(Rural[[#This Row],[‫مارس‬‏]]:Rural[[#This Row],[‫ینایر‬‏]]),"")</f>
        <v>15.316666666666668</v>
      </c>
    </row>
    <row r="24" spans="1:22" x14ac:dyDescent="0.35">
      <c r="A24" s="1">
        <v>2.2000000000000002</v>
      </c>
      <c r="B24" s="1">
        <v>24.34</v>
      </c>
      <c r="C24" s="1">
        <v>24.87</v>
      </c>
      <c r="D24" s="1">
        <v>22.22</v>
      </c>
      <c r="E24" s="1">
        <v>23.31</v>
      </c>
      <c r="F24" s="1">
        <v>25.15</v>
      </c>
      <c r="G24" s="1">
        <v>24.05</v>
      </c>
      <c r="H24" s="1"/>
      <c r="I24" s="1"/>
      <c r="J24" s="1">
        <v>24.11</v>
      </c>
      <c r="K24" s="1">
        <v>25.96</v>
      </c>
      <c r="L24" s="1">
        <v>25.89</v>
      </c>
      <c r="M24" s="1">
        <v>26.57</v>
      </c>
      <c r="N24" s="1">
        <v>25.76</v>
      </c>
      <c r="O24" s="1">
        <v>25.66</v>
      </c>
      <c r="P24" t="s">
        <v>25</v>
      </c>
      <c r="Q24" t="s">
        <v>548</v>
      </c>
      <c r="R24" s="1" t="s">
        <v>526</v>
      </c>
      <c r="S24" s="1">
        <f>IFERROR(AVERAGE(Rural[[#This Row],[‫دیسمبر‬‏]]:Rural[[#This Row],[‫اكتوبر‬‏]]),"")</f>
        <v>23.560000000000002</v>
      </c>
      <c r="T24" s="1">
        <f>IFERROR(AVERAGE(Rural[[#This Row],[‫سبتمبر‬‏]]:Rural[[#This Row],[‫یولیو‬‏]]),"")</f>
        <v>24.05</v>
      </c>
      <c r="U24" s="1">
        <f>IFERROR(AVERAGE(Rural[[#This Row],[‫یونیو‬‏]]:Rural[[#This Row],[‫ابریل‬‏]]),"")</f>
        <v>25.320000000000004</v>
      </c>
      <c r="V24" s="1">
        <f>IFERROR(AVERAGE(Rural[[#This Row],[‫مارس‬‏]]:Rural[[#This Row],[‫ینایر‬‏]]),"")</f>
        <v>25.996666666666666</v>
      </c>
    </row>
    <row r="25" spans="1:22" x14ac:dyDescent="0.35">
      <c r="A25" s="1">
        <v>-13.4</v>
      </c>
      <c r="B25" s="1">
        <v>26.96</v>
      </c>
      <c r="C25" s="1">
        <v>23.34</v>
      </c>
      <c r="D25" s="1">
        <v>25.95</v>
      </c>
      <c r="E25" s="1">
        <v>27.66</v>
      </c>
      <c r="F25" s="1"/>
      <c r="G25" s="1"/>
      <c r="H25" s="1"/>
      <c r="I25" s="1"/>
      <c r="J25" s="1"/>
      <c r="K25" s="1">
        <v>20.87</v>
      </c>
      <c r="L25" s="1">
        <v>20.6</v>
      </c>
      <c r="M25" s="1">
        <v>19.86</v>
      </c>
      <c r="N25" s="1">
        <v>21.39</v>
      </c>
      <c r="O25" s="1">
        <v>27.07</v>
      </c>
      <c r="P25" t="s">
        <v>25</v>
      </c>
      <c r="Q25" t="s">
        <v>549</v>
      </c>
      <c r="R25" s="1" t="s">
        <v>526</v>
      </c>
      <c r="S25" s="1">
        <f>IFERROR(AVERAGE(Rural[[#This Row],[‫دیسمبر‬‏]]:Rural[[#This Row],[‫اكتوبر‬‏]]),"")</f>
        <v>26.805</v>
      </c>
      <c r="T25" s="1" t="str">
        <f>IFERROR(AVERAGE(Rural[[#This Row],[‫سبتمبر‬‏]]:Rural[[#This Row],[‫یولیو‬‏]]),"")</f>
        <v/>
      </c>
      <c r="U25" s="1">
        <f>IFERROR(AVERAGE(Rural[[#This Row],[‫یونیو‬‏]]:Rural[[#This Row],[‫ابریل‬‏]]),"")</f>
        <v>20.734999999999999</v>
      </c>
      <c r="V25" s="1">
        <f>IFERROR(AVERAGE(Rural[[#This Row],[‫مارس‬‏]]:Rural[[#This Row],[‫ینایر‬‏]]),"")</f>
        <v>22.77333333333333</v>
      </c>
    </row>
    <row r="26" spans="1:22" x14ac:dyDescent="0.35">
      <c r="A26" s="1">
        <v>2.2000000000000002</v>
      </c>
      <c r="B26" s="1">
        <v>11.61</v>
      </c>
      <c r="C26" s="1">
        <v>11.87</v>
      </c>
      <c r="D26" s="1">
        <v>13.92</v>
      </c>
      <c r="E26" s="1">
        <v>15.54</v>
      </c>
      <c r="F26" s="1">
        <v>15.95</v>
      </c>
      <c r="G26" s="1">
        <v>14.56</v>
      </c>
      <c r="H26" s="1">
        <v>12</v>
      </c>
      <c r="I26" s="1">
        <v>10.75</v>
      </c>
      <c r="J26" s="1">
        <v>10.46</v>
      </c>
      <c r="K26" s="1">
        <v>9.49</v>
      </c>
      <c r="L26" s="1">
        <v>9.86</v>
      </c>
      <c r="M26" s="1">
        <v>9.6</v>
      </c>
      <c r="N26" s="1">
        <v>9.4600000000000009</v>
      </c>
      <c r="O26" s="1">
        <v>10.8</v>
      </c>
      <c r="P26" t="s">
        <v>25</v>
      </c>
      <c r="Q26" t="s">
        <v>550</v>
      </c>
      <c r="R26" s="1" t="s">
        <v>526</v>
      </c>
      <c r="S26" s="1">
        <f>IFERROR(AVERAGE(Rural[[#This Row],[‫دیسمبر‬‏]]:Rural[[#This Row],[‫اكتوبر‬‏]]),"")</f>
        <v>15.136666666666665</v>
      </c>
      <c r="T26" s="1">
        <f>IFERROR(AVERAGE(Rural[[#This Row],[‫سبتمبر‬‏]]:Rural[[#This Row],[‫یولیو‬‏]]),"")</f>
        <v>12.436666666666667</v>
      </c>
      <c r="U26" s="1">
        <f>IFERROR(AVERAGE(Rural[[#This Row],[‫یونیو‬‏]]:Rural[[#This Row],[‫ابریل‬‏]]),"")</f>
        <v>9.9366666666666674</v>
      </c>
      <c r="V26" s="1">
        <f>IFERROR(AVERAGE(Rural[[#This Row],[‫مارس‬‏]]:Rural[[#This Row],[‫ینایر‬‏]]),"")</f>
        <v>9.9533333333333349</v>
      </c>
    </row>
    <row r="27" spans="1:22" x14ac:dyDescent="0.35">
      <c r="A27" s="1">
        <v>24.4</v>
      </c>
      <c r="B27" s="1">
        <v>21.67</v>
      </c>
      <c r="C27" s="1">
        <v>26.95</v>
      </c>
      <c r="D27" s="1">
        <v>26.44</v>
      </c>
      <c r="E27" s="1">
        <v>29.12</v>
      </c>
      <c r="F27" s="1">
        <v>33.5</v>
      </c>
      <c r="G27" s="1">
        <v>31.32</v>
      </c>
      <c r="H27" s="1">
        <v>29.04</v>
      </c>
      <c r="I27" s="1">
        <v>25.89</v>
      </c>
      <c r="J27" s="1">
        <v>25.15</v>
      </c>
      <c r="K27" s="1">
        <v>23.65</v>
      </c>
      <c r="L27" s="1">
        <v>26.01</v>
      </c>
      <c r="M27" s="1">
        <v>25.73</v>
      </c>
      <c r="N27" s="1">
        <v>23</v>
      </c>
      <c r="O27" s="1">
        <v>24.58</v>
      </c>
      <c r="P27" t="s">
        <v>267</v>
      </c>
      <c r="Q27" t="s">
        <v>551</v>
      </c>
      <c r="R27" s="1" t="s">
        <v>526</v>
      </c>
      <c r="S27" s="1">
        <f>IFERROR(AVERAGE(Rural[[#This Row],[‫دیسمبر‬‏]]:Rural[[#This Row],[‫اكتوبر‬‏]]),"")</f>
        <v>29.686666666666667</v>
      </c>
      <c r="T27" s="1">
        <f>IFERROR(AVERAGE(Rural[[#This Row],[‫سبتمبر‬‏]]:Rural[[#This Row],[‫یولیو‬‏]]),"")</f>
        <v>28.75</v>
      </c>
      <c r="U27" s="1">
        <f>IFERROR(AVERAGE(Rural[[#This Row],[‫یونیو‬‏]]:Rural[[#This Row],[‫ابریل‬‏]]),"")</f>
        <v>24.936666666666667</v>
      </c>
      <c r="V27" s="1">
        <f>IFERROR(AVERAGE(Rural[[#This Row],[‫مارس‬‏]]:Rural[[#This Row],[‫ینایر‬‏]]),"")</f>
        <v>24.436666666666667</v>
      </c>
    </row>
    <row r="28" spans="1:22" x14ac:dyDescent="0.35">
      <c r="A28" s="1">
        <v>15.1</v>
      </c>
      <c r="B28" s="1">
        <v>19.100000000000001</v>
      </c>
      <c r="C28" s="1">
        <v>21.99</v>
      </c>
      <c r="D28" s="1">
        <v>23.97</v>
      </c>
      <c r="E28" s="1">
        <v>26.16</v>
      </c>
      <c r="F28" s="1"/>
      <c r="G28" s="1"/>
      <c r="H28" s="1"/>
      <c r="I28" s="1"/>
      <c r="J28" s="1"/>
      <c r="K28" s="1"/>
      <c r="L28" s="1">
        <v>19.989999999999998</v>
      </c>
      <c r="M28" s="1">
        <v>20.71</v>
      </c>
      <c r="N28" s="1">
        <v>19.91</v>
      </c>
      <c r="O28" s="1">
        <v>21.2</v>
      </c>
      <c r="P28" t="s">
        <v>267</v>
      </c>
      <c r="Q28" t="s">
        <v>552</v>
      </c>
      <c r="R28" s="1" t="s">
        <v>526</v>
      </c>
      <c r="S28" s="1">
        <f>IFERROR(AVERAGE(Rural[[#This Row],[‫دیسمبر‬‏]]:Rural[[#This Row],[‫اكتوبر‬‏]]),"")</f>
        <v>25.064999999999998</v>
      </c>
      <c r="T28" s="1" t="str">
        <f>IFERROR(AVERAGE(Rural[[#This Row],[‫سبتمبر‬‏]]:Rural[[#This Row],[‫یولیو‬‏]]),"")</f>
        <v/>
      </c>
      <c r="U28" s="1">
        <f>IFERROR(AVERAGE(Rural[[#This Row],[‫یونیو‬‏]]:Rural[[#This Row],[‫ابریل‬‏]]),"")</f>
        <v>19.989999999999998</v>
      </c>
      <c r="V28" s="1">
        <f>IFERROR(AVERAGE(Rural[[#This Row],[‫مارس‬‏]]:Rural[[#This Row],[‫ینایر‬‏]]),"")</f>
        <v>20.606666666666669</v>
      </c>
    </row>
    <row r="29" spans="1:22" x14ac:dyDescent="0.35">
      <c r="A29" s="1">
        <v>27.8</v>
      </c>
      <c r="B29" s="1">
        <v>46.22</v>
      </c>
      <c r="C29" s="1">
        <v>59.06</v>
      </c>
      <c r="D29" s="1"/>
      <c r="E29" s="1"/>
      <c r="F29" s="1"/>
      <c r="G29" s="1"/>
      <c r="H29" s="1">
        <v>62.03</v>
      </c>
      <c r="I29" s="1">
        <v>60.11</v>
      </c>
      <c r="J29" s="1">
        <v>56.6</v>
      </c>
      <c r="K29" s="1">
        <v>57.51</v>
      </c>
      <c r="L29" s="1"/>
      <c r="M29" s="1"/>
      <c r="N29" s="1"/>
      <c r="O29" s="1"/>
      <c r="P29" t="s">
        <v>25</v>
      </c>
      <c r="Q29" t="s">
        <v>553</v>
      </c>
      <c r="R29" s="1" t="s">
        <v>526</v>
      </c>
      <c r="S29" s="1" t="str">
        <f>IFERROR(AVERAGE(Rural[[#This Row],[‫دیسمبر‬‏]]:Rural[[#This Row],[‫اكتوبر‬‏]]),"")</f>
        <v/>
      </c>
      <c r="T29" s="1">
        <f>IFERROR(AVERAGE(Rural[[#This Row],[‫سبتمبر‬‏]]:Rural[[#This Row],[‫یولیو‬‏]]),"")</f>
        <v>61.07</v>
      </c>
      <c r="U29" s="1">
        <f>IFERROR(AVERAGE(Rural[[#This Row],[‫یونیو‬‏]]:Rural[[#This Row],[‫ابریل‬‏]]),"")</f>
        <v>57.055</v>
      </c>
      <c r="V29" s="1" t="str">
        <f>IFERROR(AVERAGE(Rural[[#This Row],[‫مارس‬‏]]:Rural[[#This Row],[‫ینایر‬‏]]),"")</f>
        <v/>
      </c>
    </row>
    <row r="30" spans="1:22" x14ac:dyDescent="0.35">
      <c r="A30" s="1">
        <v>16.399999999999999</v>
      </c>
      <c r="B30" s="1">
        <v>12.65</v>
      </c>
      <c r="C30" s="1">
        <v>14.71</v>
      </c>
      <c r="D30" s="1">
        <v>15.37</v>
      </c>
      <c r="E30" s="1">
        <v>15.71</v>
      </c>
      <c r="F30" s="1">
        <v>16.079999999999998</v>
      </c>
      <c r="G30" s="1">
        <v>15.79</v>
      </c>
      <c r="H30" s="1">
        <v>15.8</v>
      </c>
      <c r="I30" s="1">
        <v>15.29</v>
      </c>
      <c r="J30" s="1">
        <v>14.26</v>
      </c>
      <c r="K30" s="1">
        <v>13.91</v>
      </c>
      <c r="L30" s="1">
        <v>13.68</v>
      </c>
      <c r="M30" s="1">
        <v>14.04</v>
      </c>
      <c r="N30" s="1">
        <v>12.91</v>
      </c>
      <c r="O30" s="1">
        <v>13.71</v>
      </c>
      <c r="P30" t="s">
        <v>267</v>
      </c>
      <c r="Q30" t="s">
        <v>554</v>
      </c>
      <c r="R30" s="1" t="s">
        <v>526</v>
      </c>
      <c r="S30" s="1">
        <f>IFERROR(AVERAGE(Rural[[#This Row],[‫دیسمبر‬‏]]:Rural[[#This Row],[‫اكتوبر‬‏]]),"")</f>
        <v>15.719999999999999</v>
      </c>
      <c r="T30" s="1">
        <f>IFERROR(AVERAGE(Rural[[#This Row],[‫سبتمبر‬‏]]:Rural[[#This Row],[‫یولیو‬‏]]),"")</f>
        <v>15.626666666666665</v>
      </c>
      <c r="U30" s="1">
        <f>IFERROR(AVERAGE(Rural[[#This Row],[‫یونیو‬‏]]:Rural[[#This Row],[‫ابریل‬‏]]),"")</f>
        <v>13.950000000000001</v>
      </c>
      <c r="V30" s="1">
        <f>IFERROR(AVERAGE(Rural[[#This Row],[‫مارس‬‏]]:Rural[[#This Row],[‫ینایر‬‏]]),"")</f>
        <v>13.553333333333333</v>
      </c>
    </row>
    <row r="31" spans="1:22" x14ac:dyDescent="0.35">
      <c r="A31" s="1">
        <v>20.9</v>
      </c>
      <c r="B31" s="1">
        <v>17.190000000000001</v>
      </c>
      <c r="C31" s="1">
        <v>20.78</v>
      </c>
      <c r="D31" s="1">
        <v>21.72</v>
      </c>
      <c r="E31" s="1">
        <v>20.09</v>
      </c>
      <c r="F31" s="1">
        <v>28.98</v>
      </c>
      <c r="G31" s="1">
        <v>21.52</v>
      </c>
      <c r="H31" s="1"/>
      <c r="I31" s="1"/>
      <c r="J31" s="1"/>
      <c r="K31" s="1"/>
      <c r="L31" s="1"/>
      <c r="M31" s="1">
        <v>17.52</v>
      </c>
      <c r="N31" s="1">
        <v>18.059999999999999</v>
      </c>
      <c r="O31" s="1">
        <v>17.579999999999998</v>
      </c>
      <c r="P31" t="s">
        <v>25</v>
      </c>
      <c r="Q31" t="s">
        <v>555</v>
      </c>
      <c r="R31" s="1" t="s">
        <v>526</v>
      </c>
      <c r="S31" s="1">
        <f>IFERROR(AVERAGE(Rural[[#This Row],[‫دیسمبر‬‏]]:Rural[[#This Row],[‫اكتوبر‬‏]]),"")</f>
        <v>23.596666666666668</v>
      </c>
      <c r="T31" s="1">
        <f>IFERROR(AVERAGE(Rural[[#This Row],[‫سبتمبر‬‏]]:Rural[[#This Row],[‫یولیو‬‏]]),"")</f>
        <v>21.52</v>
      </c>
      <c r="U31" s="1" t="str">
        <f>IFERROR(AVERAGE(Rural[[#This Row],[‫یونیو‬‏]]:Rural[[#This Row],[‫ابریل‬‏]]),"")</f>
        <v/>
      </c>
      <c r="V31" s="1">
        <f>IFERROR(AVERAGE(Rural[[#This Row],[‫مارس‬‏]]:Rural[[#This Row],[‫ینایر‬‏]]),"")</f>
        <v>17.72</v>
      </c>
    </row>
    <row r="32" spans="1:22" x14ac:dyDescent="0.35">
      <c r="A32" s="1">
        <v>6.8</v>
      </c>
      <c r="B32" s="1">
        <v>9.5</v>
      </c>
      <c r="C32" s="1">
        <v>10.14</v>
      </c>
      <c r="D32" s="1">
        <v>10.42</v>
      </c>
      <c r="E32" s="1">
        <v>10.95</v>
      </c>
      <c r="F32" s="1">
        <v>11.02</v>
      </c>
      <c r="G32" s="1">
        <v>10.48</v>
      </c>
      <c r="H32" s="1">
        <v>10.44</v>
      </c>
      <c r="I32" s="1">
        <v>10.67</v>
      </c>
      <c r="J32" s="1"/>
      <c r="K32" s="1"/>
      <c r="L32" s="1">
        <v>9.36</v>
      </c>
      <c r="M32" s="1">
        <v>9.4600000000000009</v>
      </c>
      <c r="N32" s="1">
        <v>9.4600000000000009</v>
      </c>
      <c r="O32" s="1">
        <v>9.14</v>
      </c>
      <c r="P32" t="s">
        <v>25</v>
      </c>
      <c r="Q32" t="s">
        <v>556</v>
      </c>
      <c r="R32" s="1" t="s">
        <v>526</v>
      </c>
      <c r="S32" s="1">
        <f>IFERROR(AVERAGE(Rural[[#This Row],[‫دیسمبر‬‏]]:Rural[[#This Row],[‫اكتوبر‬‏]]),"")</f>
        <v>10.796666666666667</v>
      </c>
      <c r="T32" s="1">
        <f>IFERROR(AVERAGE(Rural[[#This Row],[‫سبتمبر‬‏]]:Rural[[#This Row],[‫یولیو‬‏]]),"")</f>
        <v>10.530000000000001</v>
      </c>
      <c r="U32" s="1">
        <f>IFERROR(AVERAGE(Rural[[#This Row],[‫یونیو‬‏]]:Rural[[#This Row],[‫ابریل‬‏]]),"")</f>
        <v>9.36</v>
      </c>
      <c r="V32" s="1">
        <f>IFERROR(AVERAGE(Rural[[#This Row],[‫مارس‬‏]]:Rural[[#This Row],[‫ینایر‬‏]]),"")</f>
        <v>9.3533333333333335</v>
      </c>
    </row>
    <row r="33" spans="1:22" x14ac:dyDescent="0.35">
      <c r="A33" s="1">
        <v>10.4</v>
      </c>
      <c r="B33" s="1">
        <v>2.54</v>
      </c>
      <c r="C33" s="1">
        <v>2.81</v>
      </c>
      <c r="D33" s="1">
        <v>2.92</v>
      </c>
      <c r="E33" s="1">
        <v>2.93</v>
      </c>
      <c r="F33" s="1">
        <v>3.04</v>
      </c>
      <c r="G33" s="1">
        <v>3.03</v>
      </c>
      <c r="H33" s="1">
        <v>2.9</v>
      </c>
      <c r="I33" s="1">
        <v>2.79</v>
      </c>
      <c r="J33" s="1">
        <v>2.9</v>
      </c>
      <c r="K33" s="1">
        <v>2.69</v>
      </c>
      <c r="L33" s="1">
        <v>2.52</v>
      </c>
      <c r="M33" s="1">
        <v>2.64</v>
      </c>
      <c r="N33" s="1">
        <v>2.67</v>
      </c>
      <c r="O33" s="1">
        <v>2.68</v>
      </c>
      <c r="P33" t="s">
        <v>273</v>
      </c>
      <c r="Q33" t="s">
        <v>557</v>
      </c>
      <c r="R33" s="1" t="s">
        <v>526</v>
      </c>
      <c r="S33" s="1">
        <f>IFERROR(AVERAGE(Rural[[#This Row],[‫دیسمبر‬‏]]:Rural[[#This Row],[‫اكتوبر‬‏]]),"")</f>
        <v>2.9633333333333334</v>
      </c>
      <c r="T33" s="1">
        <f>IFERROR(AVERAGE(Rural[[#This Row],[‫سبتمبر‬‏]]:Rural[[#This Row],[‫یولیو‬‏]]),"")</f>
        <v>2.9066666666666663</v>
      </c>
      <c r="U33" s="1">
        <f>IFERROR(AVERAGE(Rural[[#This Row],[‫یونیو‬‏]]:Rural[[#This Row],[‫ابریل‬‏]]),"")</f>
        <v>2.7033333333333331</v>
      </c>
      <c r="V33" s="1">
        <f>IFERROR(AVERAGE(Rural[[#This Row],[‫مارس‬‏]]:Rural[[#This Row],[‫ینایر‬‏]]),"")</f>
        <v>2.6633333333333336</v>
      </c>
    </row>
    <row r="34" spans="1:22" x14ac:dyDescent="0.35">
      <c r="A34" s="1">
        <v>12.7</v>
      </c>
      <c r="B34" s="1">
        <v>2.17</v>
      </c>
      <c r="C34" s="1">
        <v>2.4500000000000002</v>
      </c>
      <c r="D34" s="1">
        <v>2.59</v>
      </c>
      <c r="E34" s="1">
        <v>2.56</v>
      </c>
      <c r="F34" s="1">
        <v>2.5499999999999998</v>
      </c>
      <c r="G34" s="1">
        <v>2.57</v>
      </c>
      <c r="H34" s="1">
        <v>2.4500000000000002</v>
      </c>
      <c r="I34" s="1">
        <v>2.39</v>
      </c>
      <c r="J34" s="1">
        <v>2.42</v>
      </c>
      <c r="K34" s="1">
        <v>2.38</v>
      </c>
      <c r="L34" s="1">
        <v>2.3199999999999998</v>
      </c>
      <c r="M34" s="1">
        <v>2.39</v>
      </c>
      <c r="N34" s="1">
        <v>2.41</v>
      </c>
      <c r="O34" s="1">
        <v>2.38</v>
      </c>
      <c r="P34" t="s">
        <v>273</v>
      </c>
      <c r="Q34" t="s">
        <v>558</v>
      </c>
      <c r="R34" s="1" t="s">
        <v>526</v>
      </c>
      <c r="S34" s="1">
        <f>IFERROR(AVERAGE(Rural[[#This Row],[‫دیسمبر‬‏]]:Rural[[#This Row],[‫اكتوبر‬‏]]),"")</f>
        <v>2.5666666666666669</v>
      </c>
      <c r="T34" s="1">
        <f>IFERROR(AVERAGE(Rural[[#This Row],[‫سبتمبر‬‏]]:Rural[[#This Row],[‫یولیو‬‏]]),"")</f>
        <v>2.4700000000000002</v>
      </c>
      <c r="U34" s="1">
        <f>IFERROR(AVERAGE(Rural[[#This Row],[‫یونیو‬‏]]:Rural[[#This Row],[‫ابریل‬‏]]),"")</f>
        <v>2.3733333333333331</v>
      </c>
      <c r="V34" s="1">
        <f>IFERROR(AVERAGE(Rural[[#This Row],[‫مارس‬‏]]:Rural[[#This Row],[‫ینایر‬‏]]),"")</f>
        <v>2.3933333333333335</v>
      </c>
    </row>
    <row r="35" spans="1:22" x14ac:dyDescent="0.35">
      <c r="A35" s="1">
        <v>17.2</v>
      </c>
      <c r="B35" s="1">
        <v>40.6</v>
      </c>
      <c r="C35" s="1">
        <v>47.6</v>
      </c>
      <c r="D35" s="1">
        <v>50.69</v>
      </c>
      <c r="E35" s="1">
        <v>50.74</v>
      </c>
      <c r="F35" s="1">
        <v>51.83</v>
      </c>
      <c r="G35" s="1">
        <v>44.31</v>
      </c>
      <c r="H35" s="1">
        <v>39.25</v>
      </c>
      <c r="I35" s="1">
        <v>41.03</v>
      </c>
      <c r="J35" s="1">
        <v>55.32</v>
      </c>
      <c r="K35" s="1"/>
      <c r="L35" s="1"/>
      <c r="M35" s="1"/>
      <c r="N35" s="1"/>
      <c r="O35" s="1"/>
      <c r="P35" t="s">
        <v>25</v>
      </c>
      <c r="Q35" t="s">
        <v>559</v>
      </c>
      <c r="R35" s="1" t="s">
        <v>526</v>
      </c>
      <c r="S35" s="1">
        <f>IFERROR(AVERAGE(Rural[[#This Row],[‫دیسمبر‬‏]]:Rural[[#This Row],[‫اكتوبر‬‏]]),"")</f>
        <v>51.086666666666666</v>
      </c>
      <c r="T35" s="1">
        <f>IFERROR(AVERAGE(Rural[[#This Row],[‫سبتمبر‬‏]]:Rural[[#This Row],[‫یولیو‬‏]]),"")</f>
        <v>41.53</v>
      </c>
      <c r="U35" s="1">
        <f>IFERROR(AVERAGE(Rural[[#This Row],[‫یونیو‬‏]]:Rural[[#This Row],[‫ابریل‬‏]]),"")</f>
        <v>55.32</v>
      </c>
      <c r="V35" s="1" t="str">
        <f>IFERROR(AVERAGE(Rural[[#This Row],[‫مارس‬‏]]:Rural[[#This Row],[‫ینایر‬‏]]),"")</f>
        <v/>
      </c>
    </row>
    <row r="36" spans="1:22" x14ac:dyDescent="0.35">
      <c r="A36" s="1">
        <v>20.5</v>
      </c>
      <c r="B36" s="1">
        <v>13.24</v>
      </c>
      <c r="C36" s="1">
        <v>15.95</v>
      </c>
      <c r="D36" s="1">
        <v>16.649999999999999</v>
      </c>
      <c r="E36" s="1">
        <v>15.19</v>
      </c>
      <c r="F36" s="1">
        <v>13.83</v>
      </c>
      <c r="G36" s="1">
        <v>13.04</v>
      </c>
      <c r="H36" s="1">
        <v>14</v>
      </c>
      <c r="I36" s="1">
        <v>15.45</v>
      </c>
      <c r="J36" s="1">
        <v>18.43</v>
      </c>
      <c r="K36" s="1">
        <v>20.98</v>
      </c>
      <c r="L36" s="1"/>
      <c r="M36" s="1"/>
      <c r="N36" s="1"/>
      <c r="O36" s="1"/>
      <c r="P36" t="s">
        <v>25</v>
      </c>
      <c r="Q36" t="s">
        <v>560</v>
      </c>
      <c r="R36" s="1" t="s">
        <v>526</v>
      </c>
      <c r="S36" s="1">
        <f>IFERROR(AVERAGE(Rural[[#This Row],[‫دیسمبر‬‏]]:Rural[[#This Row],[‫اكتوبر‬‏]]),"")</f>
        <v>15.223333333333331</v>
      </c>
      <c r="T36" s="1">
        <f>IFERROR(AVERAGE(Rural[[#This Row],[‫سبتمبر‬‏]]:Rural[[#This Row],[‫یولیو‬‏]]),"")</f>
        <v>14.163333333333332</v>
      </c>
      <c r="U36" s="1">
        <f>IFERROR(AVERAGE(Rural[[#This Row],[‫یونیو‬‏]]:Rural[[#This Row],[‫ابریل‬‏]]),"")</f>
        <v>19.704999999999998</v>
      </c>
      <c r="V36" s="1" t="str">
        <f>IFERROR(AVERAGE(Rural[[#This Row],[‫مارس‬‏]]:Rural[[#This Row],[‫ینایر‬‏]]),"")</f>
        <v/>
      </c>
    </row>
    <row r="37" spans="1:22" x14ac:dyDescent="0.35">
      <c r="A37" s="1">
        <v>-3.2</v>
      </c>
      <c r="B37" s="1">
        <v>12.84</v>
      </c>
      <c r="C37" s="1">
        <v>12.42</v>
      </c>
      <c r="D37" s="1">
        <v>12.85</v>
      </c>
      <c r="E37" s="1">
        <v>12.99</v>
      </c>
      <c r="F37" s="1">
        <v>13.07</v>
      </c>
      <c r="G37" s="1">
        <v>11.61</v>
      </c>
      <c r="H37" s="1">
        <v>9.92</v>
      </c>
      <c r="I37" s="1">
        <v>10.92</v>
      </c>
      <c r="J37" s="1">
        <v>14.26</v>
      </c>
      <c r="K37" s="1">
        <v>13.77</v>
      </c>
      <c r="L37" s="1"/>
      <c r="M37" s="1"/>
      <c r="N37" s="1"/>
      <c r="O37" s="1"/>
      <c r="P37" t="s">
        <v>25</v>
      </c>
      <c r="Q37" t="s">
        <v>561</v>
      </c>
      <c r="R37" s="1" t="s">
        <v>526</v>
      </c>
      <c r="S37" s="1">
        <f>IFERROR(AVERAGE(Rural[[#This Row],[‫دیسمبر‬‏]]:Rural[[#This Row],[‫اكتوبر‬‏]]),"")</f>
        <v>12.969999999999999</v>
      </c>
      <c r="T37" s="1">
        <f>IFERROR(AVERAGE(Rural[[#This Row],[‫سبتمبر‬‏]]:Rural[[#This Row],[‫یولیو‬‏]]),"")</f>
        <v>10.816666666666668</v>
      </c>
      <c r="U37" s="1">
        <f>IFERROR(AVERAGE(Rural[[#This Row],[‫یونیو‬‏]]:Rural[[#This Row],[‫ابریل‬‏]]),"")</f>
        <v>14.015000000000001</v>
      </c>
      <c r="V37" s="1" t="str">
        <f>IFERROR(AVERAGE(Rural[[#This Row],[‫مارس‬‏]]:Rural[[#This Row],[‫ینایر‬‏]]),"")</f>
        <v/>
      </c>
    </row>
    <row r="38" spans="1:22" x14ac:dyDescent="0.35">
      <c r="A38" s="1">
        <v>10.9</v>
      </c>
      <c r="B38" s="1">
        <v>9.9499999999999993</v>
      </c>
      <c r="C38" s="1">
        <v>11.04</v>
      </c>
      <c r="D38" s="1">
        <v>11.15</v>
      </c>
      <c r="E38" s="1">
        <v>11.55</v>
      </c>
      <c r="F38" s="1">
        <v>11.26</v>
      </c>
      <c r="G38" s="1">
        <v>9.9</v>
      </c>
      <c r="H38" s="1">
        <v>8.52</v>
      </c>
      <c r="I38" s="1">
        <v>9.26</v>
      </c>
      <c r="J38" s="1">
        <v>11.41</v>
      </c>
      <c r="K38" s="1">
        <v>11.75</v>
      </c>
      <c r="L38" s="1">
        <v>12.89</v>
      </c>
      <c r="M38" s="1">
        <v>12.85</v>
      </c>
      <c r="N38" s="1">
        <v>11.05</v>
      </c>
      <c r="O38" s="1">
        <v>10.86</v>
      </c>
      <c r="P38" t="s">
        <v>25</v>
      </c>
      <c r="Q38" t="s">
        <v>562</v>
      </c>
      <c r="R38" s="1" t="s">
        <v>526</v>
      </c>
      <c r="S38" s="1">
        <f>IFERROR(AVERAGE(Rural[[#This Row],[‫دیسمبر‬‏]]:Rural[[#This Row],[‫اكتوبر‬‏]]),"")</f>
        <v>11.32</v>
      </c>
      <c r="T38" s="1">
        <f>IFERROR(AVERAGE(Rural[[#This Row],[‫سبتمبر‬‏]]:Rural[[#This Row],[‫یولیو‬‏]]),"")</f>
        <v>9.2266666666666666</v>
      </c>
      <c r="U38" s="1">
        <f>IFERROR(AVERAGE(Rural[[#This Row],[‫یونیو‬‏]]:Rural[[#This Row],[‫ابریل‬‏]]),"")</f>
        <v>12.016666666666666</v>
      </c>
      <c r="V38" s="1">
        <f>IFERROR(AVERAGE(Rural[[#This Row],[‫مارس‬‏]]:Rural[[#This Row],[‫ینایر‬‏]]),"")</f>
        <v>11.586666666666666</v>
      </c>
    </row>
    <row r="39" spans="1:22" x14ac:dyDescent="0.35">
      <c r="A39" s="1">
        <v>16.5</v>
      </c>
      <c r="B39" s="1">
        <v>16.649999999999999</v>
      </c>
      <c r="C39" s="1">
        <v>19.39</v>
      </c>
      <c r="D39" s="1">
        <v>17.45</v>
      </c>
      <c r="E39" s="1">
        <v>18.45</v>
      </c>
      <c r="F39" s="1">
        <v>18.809999999999999</v>
      </c>
      <c r="G39" s="1">
        <v>16.309999999999999</v>
      </c>
      <c r="H39" s="1">
        <v>14.74</v>
      </c>
      <c r="I39" s="1">
        <v>16.920000000000002</v>
      </c>
      <c r="J39" s="1">
        <v>19.32</v>
      </c>
      <c r="K39" s="1">
        <v>20.22</v>
      </c>
      <c r="L39" s="1">
        <v>24.5</v>
      </c>
      <c r="M39" s="1">
        <v>24.66</v>
      </c>
      <c r="N39" s="1">
        <v>20.38</v>
      </c>
      <c r="O39" s="1">
        <v>20.94</v>
      </c>
      <c r="P39" t="s">
        <v>25</v>
      </c>
      <c r="Q39" t="s">
        <v>563</v>
      </c>
      <c r="R39" s="1" t="s">
        <v>526</v>
      </c>
      <c r="S39" s="1">
        <f>IFERROR(AVERAGE(Rural[[#This Row],[‫دیسمبر‬‏]]:Rural[[#This Row],[‫اكتوبر‬‏]]),"")</f>
        <v>18.236666666666665</v>
      </c>
      <c r="T39" s="1">
        <f>IFERROR(AVERAGE(Rural[[#This Row],[‫سبتمبر‬‏]]:Rural[[#This Row],[‫یولیو‬‏]]),"")</f>
        <v>15.99</v>
      </c>
      <c r="U39" s="1">
        <f>IFERROR(AVERAGE(Rural[[#This Row],[‫یونیو‬‏]]:Rural[[#This Row],[‫ابریل‬‏]]),"")</f>
        <v>21.346666666666664</v>
      </c>
      <c r="V39" s="1">
        <f>IFERROR(AVERAGE(Rural[[#This Row],[‫مارس‬‏]]:Rural[[#This Row],[‫ینایر‬‏]]),"")</f>
        <v>21.993333333333336</v>
      </c>
    </row>
    <row r="40" spans="1:22" x14ac:dyDescent="0.35">
      <c r="A40" s="1">
        <v>12.7</v>
      </c>
      <c r="B40" s="1">
        <v>28.2</v>
      </c>
      <c r="C40" s="1">
        <v>31.77</v>
      </c>
      <c r="D40" s="1">
        <v>28.72</v>
      </c>
      <c r="E40" s="1">
        <v>29.43</v>
      </c>
      <c r="F40" s="1">
        <v>31.84</v>
      </c>
      <c r="G40" s="1">
        <v>28.97</v>
      </c>
      <c r="H40" s="1">
        <v>26.46</v>
      </c>
      <c r="I40" s="1">
        <v>30.05</v>
      </c>
      <c r="J40" s="1">
        <v>32.94</v>
      </c>
      <c r="K40" s="1">
        <v>33.42</v>
      </c>
      <c r="L40" s="1">
        <v>35.520000000000003</v>
      </c>
      <c r="M40" s="1">
        <v>37.090000000000003</v>
      </c>
      <c r="N40" s="1">
        <v>32.270000000000003</v>
      </c>
      <c r="O40" s="1">
        <v>34.520000000000003</v>
      </c>
      <c r="P40" t="s">
        <v>25</v>
      </c>
      <c r="Q40" t="s">
        <v>564</v>
      </c>
      <c r="R40" s="1" t="s">
        <v>526</v>
      </c>
      <c r="S40" s="1">
        <f>IFERROR(AVERAGE(Rural[[#This Row],[‫دیسمبر‬‏]]:Rural[[#This Row],[‫اكتوبر‬‏]]),"")</f>
        <v>29.996666666666666</v>
      </c>
      <c r="T40" s="1">
        <f>IFERROR(AVERAGE(Rural[[#This Row],[‫سبتمبر‬‏]]:Rural[[#This Row],[‫یولیو‬‏]]),"")</f>
        <v>28.493333333333336</v>
      </c>
      <c r="U40" s="1">
        <f>IFERROR(AVERAGE(Rural[[#This Row],[‫یونیو‬‏]]:Rural[[#This Row],[‫ابریل‬‏]]),"")</f>
        <v>33.96</v>
      </c>
      <c r="V40" s="1">
        <f>IFERROR(AVERAGE(Rural[[#This Row],[‫مارس‬‏]]:Rural[[#This Row],[‫ینایر‬‏]]),"")</f>
        <v>34.626666666666672</v>
      </c>
    </row>
    <row r="41" spans="1:22" x14ac:dyDescent="0.35">
      <c r="A41" s="1">
        <v>0.8</v>
      </c>
      <c r="B41" s="1">
        <v>21.37</v>
      </c>
      <c r="C41" s="1">
        <v>21.55</v>
      </c>
      <c r="D41" s="1">
        <v>20.09</v>
      </c>
      <c r="E41" s="1">
        <v>24.84</v>
      </c>
      <c r="F41" s="1">
        <v>31.9</v>
      </c>
      <c r="G41" s="1">
        <v>23.63</v>
      </c>
      <c r="H41" s="1">
        <v>19.97</v>
      </c>
      <c r="I41" s="1">
        <v>19.399999999999999</v>
      </c>
      <c r="J41" s="1">
        <v>20.100000000000001</v>
      </c>
      <c r="K41" s="1">
        <v>21.33</v>
      </c>
      <c r="L41" s="1">
        <v>20.38</v>
      </c>
      <c r="M41" s="1">
        <v>19.91</v>
      </c>
      <c r="N41" s="1">
        <v>18.02</v>
      </c>
      <c r="O41" s="1">
        <v>19.04</v>
      </c>
      <c r="P41" t="s">
        <v>25</v>
      </c>
      <c r="Q41" t="s">
        <v>565</v>
      </c>
      <c r="R41" s="1" t="s">
        <v>526</v>
      </c>
      <c r="S41" s="1">
        <f>IFERROR(AVERAGE(Rural[[#This Row],[‫دیسمبر‬‏]]:Rural[[#This Row],[‫اكتوبر‬‏]]),"")</f>
        <v>25.61</v>
      </c>
      <c r="T41" s="1">
        <f>IFERROR(AVERAGE(Rural[[#This Row],[‫سبتمبر‬‏]]:Rural[[#This Row],[‫یولیو‬‏]]),"")</f>
        <v>20.999999999999996</v>
      </c>
      <c r="U41" s="1">
        <f>IFERROR(AVERAGE(Rural[[#This Row],[‫یونیو‬‏]]:Rural[[#This Row],[‫ابریل‬‏]]),"")</f>
        <v>20.603333333333335</v>
      </c>
      <c r="V41" s="1">
        <f>IFERROR(AVERAGE(Rural[[#This Row],[‫مارس‬‏]]:Rural[[#This Row],[‫ینایر‬‏]]),"")</f>
        <v>18.989999999999998</v>
      </c>
    </row>
    <row r="42" spans="1:22" x14ac:dyDescent="0.35">
      <c r="A42" s="1">
        <v>12.3</v>
      </c>
      <c r="B42" s="1">
        <v>16.46</v>
      </c>
      <c r="C42" s="1">
        <v>18.48</v>
      </c>
      <c r="D42" s="1">
        <v>17.600000000000001</v>
      </c>
      <c r="E42" s="1">
        <v>15.98</v>
      </c>
      <c r="F42" s="1">
        <v>19.7</v>
      </c>
      <c r="G42" s="1">
        <v>20.97</v>
      </c>
      <c r="H42" s="1">
        <v>17.989999999999998</v>
      </c>
      <c r="I42" s="1">
        <v>15.26</v>
      </c>
      <c r="J42" s="1">
        <v>16.010000000000002</v>
      </c>
      <c r="K42" s="1">
        <v>15.75</v>
      </c>
      <c r="L42" s="1">
        <v>21.32</v>
      </c>
      <c r="M42" s="1">
        <v>22.35</v>
      </c>
      <c r="N42" s="1">
        <v>18.02</v>
      </c>
      <c r="O42" s="1">
        <v>20.78</v>
      </c>
      <c r="P42" t="s">
        <v>25</v>
      </c>
      <c r="Q42" t="s">
        <v>566</v>
      </c>
      <c r="R42" s="1" t="s">
        <v>526</v>
      </c>
      <c r="S42" s="1">
        <f>IFERROR(AVERAGE(Rural[[#This Row],[‫دیسمبر‬‏]]:Rural[[#This Row],[‫اكتوبر‬‏]]),"")</f>
        <v>17.760000000000002</v>
      </c>
      <c r="T42" s="1">
        <f>IFERROR(AVERAGE(Rural[[#This Row],[‫سبتمبر‬‏]]:Rural[[#This Row],[‫یولیو‬‏]]),"")</f>
        <v>18.073333333333331</v>
      </c>
      <c r="U42" s="1">
        <f>IFERROR(AVERAGE(Rural[[#This Row],[‫یونیو‬‏]]:Rural[[#This Row],[‫ابریل‬‏]]),"")</f>
        <v>17.693333333333332</v>
      </c>
      <c r="V42" s="1">
        <f>IFERROR(AVERAGE(Rural[[#This Row],[‫مارس‬‏]]:Rural[[#This Row],[‫ینایر‬‏]]),"")</f>
        <v>20.383333333333336</v>
      </c>
    </row>
    <row r="43" spans="1:22" x14ac:dyDescent="0.35">
      <c r="A43" s="1">
        <v>13.9</v>
      </c>
      <c r="B43" s="1">
        <v>16.66</v>
      </c>
      <c r="C43" s="1">
        <v>18.98</v>
      </c>
      <c r="D43" s="1">
        <v>18.03</v>
      </c>
      <c r="E43" s="1">
        <v>16.29</v>
      </c>
      <c r="F43" s="1">
        <v>20.14</v>
      </c>
      <c r="G43" s="1">
        <v>21.21</v>
      </c>
      <c r="H43" s="1">
        <v>18.75</v>
      </c>
      <c r="I43" s="1">
        <v>16.079999999999998</v>
      </c>
      <c r="J43" s="1">
        <v>15.73</v>
      </c>
      <c r="K43" s="1">
        <v>16.14</v>
      </c>
      <c r="L43" s="1">
        <v>22.66</v>
      </c>
      <c r="M43" s="1">
        <v>22.89</v>
      </c>
      <c r="N43" s="1">
        <v>18.57</v>
      </c>
      <c r="O43" s="1">
        <v>21.27</v>
      </c>
      <c r="P43" t="s">
        <v>25</v>
      </c>
      <c r="Q43" t="s">
        <v>567</v>
      </c>
      <c r="R43" s="1" t="s">
        <v>526</v>
      </c>
      <c r="S43" s="1">
        <f>IFERROR(AVERAGE(Rural[[#This Row],[‫دیسمبر‬‏]]:Rural[[#This Row],[‫اكتوبر‬‏]]),"")</f>
        <v>18.153333333333332</v>
      </c>
      <c r="T43" s="1">
        <f>IFERROR(AVERAGE(Rural[[#This Row],[‫سبتمبر‬‏]]:Rural[[#This Row],[‫یولیو‬‏]]),"")</f>
        <v>18.68</v>
      </c>
      <c r="U43" s="1">
        <f>IFERROR(AVERAGE(Rural[[#This Row],[‫یونیو‬‏]]:Rural[[#This Row],[‫ابریل‬‏]]),"")</f>
        <v>18.176666666666666</v>
      </c>
      <c r="V43" s="1">
        <f>IFERROR(AVERAGE(Rural[[#This Row],[‫مارس‬‏]]:Rural[[#This Row],[‫ینایر‬‏]]),"")</f>
        <v>20.91</v>
      </c>
    </row>
    <row r="44" spans="1:22" x14ac:dyDescent="0.35">
      <c r="A44" s="1">
        <v>-5.7</v>
      </c>
      <c r="B44" s="1">
        <v>59.93</v>
      </c>
      <c r="C44" s="1">
        <v>56.5</v>
      </c>
      <c r="D44" s="1">
        <v>52.24</v>
      </c>
      <c r="E44" s="1">
        <v>53.25</v>
      </c>
      <c r="F44" s="1">
        <v>62.68</v>
      </c>
      <c r="G44" s="1">
        <v>61.27</v>
      </c>
      <c r="H44" s="1">
        <v>53.08</v>
      </c>
      <c r="I44" s="1"/>
      <c r="J44" s="1"/>
      <c r="K44" s="1"/>
      <c r="L44" s="1"/>
      <c r="M44" s="1"/>
      <c r="N44" s="1"/>
      <c r="O44" s="1"/>
      <c r="P44" t="s">
        <v>25</v>
      </c>
      <c r="Q44" t="s">
        <v>568</v>
      </c>
      <c r="R44" s="1" t="s">
        <v>526</v>
      </c>
      <c r="S44" s="1">
        <f>IFERROR(AVERAGE(Rural[[#This Row],[‫دیسمبر‬‏]]:Rural[[#This Row],[‫اكتوبر‬‏]]),"")</f>
        <v>56.056666666666672</v>
      </c>
      <c r="T44" s="1">
        <f>IFERROR(AVERAGE(Rural[[#This Row],[‫سبتمبر‬‏]]:Rural[[#This Row],[‫یولیو‬‏]]),"")</f>
        <v>57.174999999999997</v>
      </c>
      <c r="U44" s="1" t="str">
        <f>IFERROR(AVERAGE(Rural[[#This Row],[‫یونیو‬‏]]:Rural[[#This Row],[‫ابریل‬‏]]),"")</f>
        <v/>
      </c>
      <c r="V44" s="1" t="str">
        <f>IFERROR(AVERAGE(Rural[[#This Row],[‫مارس‬‏]]:Rural[[#This Row],[‫ینایر‬‏]]),"")</f>
        <v/>
      </c>
    </row>
    <row r="45" spans="1:22" x14ac:dyDescent="0.35">
      <c r="A45" s="1">
        <v>-4.7</v>
      </c>
      <c r="B45" s="1">
        <v>52.78</v>
      </c>
      <c r="C45" s="1">
        <v>50.31</v>
      </c>
      <c r="D45" s="1">
        <v>46.56</v>
      </c>
      <c r="E45" s="1">
        <v>47.46</v>
      </c>
      <c r="F45" s="1">
        <v>56.32</v>
      </c>
      <c r="G45" s="1">
        <v>53.43</v>
      </c>
      <c r="H45" s="1">
        <v>47.78</v>
      </c>
      <c r="I45" s="1"/>
      <c r="J45" s="1"/>
      <c r="K45" s="1"/>
      <c r="L45" s="1"/>
      <c r="M45" s="1"/>
      <c r="N45" s="1"/>
      <c r="O45" s="1"/>
      <c r="P45" t="s">
        <v>25</v>
      </c>
      <c r="Q45" t="s">
        <v>569</v>
      </c>
      <c r="R45" s="1" t="s">
        <v>526</v>
      </c>
      <c r="S45" s="1">
        <f>IFERROR(AVERAGE(Rural[[#This Row],[‫دیسمبر‬‏]]:Rural[[#This Row],[‫اكتوبر‬‏]]),"")</f>
        <v>50.113333333333337</v>
      </c>
      <c r="T45" s="1">
        <f>IFERROR(AVERAGE(Rural[[#This Row],[‫سبتمبر‬‏]]:Rural[[#This Row],[‫یولیو‬‏]]),"")</f>
        <v>50.605000000000004</v>
      </c>
      <c r="U45" s="1" t="str">
        <f>IFERROR(AVERAGE(Rural[[#This Row],[‫یونیو‬‏]]:Rural[[#This Row],[‫ابریل‬‏]]),"")</f>
        <v/>
      </c>
      <c r="V45" s="1" t="str">
        <f>IFERROR(AVERAGE(Rural[[#This Row],[‫مارس‬‏]]:Rural[[#This Row],[‫ینایر‬‏]]),"")</f>
        <v/>
      </c>
    </row>
    <row r="46" spans="1:22" x14ac:dyDescent="0.35">
      <c r="A46" s="1">
        <v>69.099999999999994</v>
      </c>
      <c r="B46" s="1">
        <v>9.1999999999999993</v>
      </c>
      <c r="C46" s="1">
        <v>15.55</v>
      </c>
      <c r="D46" s="1">
        <v>16.18</v>
      </c>
      <c r="E46" s="1">
        <v>18.559999999999999</v>
      </c>
      <c r="F46" s="1"/>
      <c r="G46" s="1"/>
      <c r="H46" s="1"/>
      <c r="I46" s="1"/>
      <c r="J46" s="1"/>
      <c r="K46" s="1"/>
      <c r="L46" s="1">
        <v>16.7</v>
      </c>
      <c r="M46" s="1">
        <v>16.37</v>
      </c>
      <c r="N46" s="1">
        <v>13.54</v>
      </c>
      <c r="O46" s="1">
        <v>11.98</v>
      </c>
      <c r="P46" t="s">
        <v>25</v>
      </c>
      <c r="Q46" t="s">
        <v>570</v>
      </c>
      <c r="R46" s="1" t="s">
        <v>526</v>
      </c>
      <c r="S46" s="1">
        <f>IFERROR(AVERAGE(Rural[[#This Row],[‫دیسمبر‬‏]]:Rural[[#This Row],[‫اكتوبر‬‏]]),"")</f>
        <v>17.369999999999997</v>
      </c>
      <c r="T46" s="1" t="str">
        <f>IFERROR(AVERAGE(Rural[[#This Row],[‫سبتمبر‬‏]]:Rural[[#This Row],[‫یولیو‬‏]]),"")</f>
        <v/>
      </c>
      <c r="U46" s="1">
        <f>IFERROR(AVERAGE(Rural[[#This Row],[‫یونیو‬‏]]:Rural[[#This Row],[‫ابریل‬‏]]),"")</f>
        <v>16.7</v>
      </c>
      <c r="V46" s="1">
        <f>IFERROR(AVERAGE(Rural[[#This Row],[‫مارس‬‏]]:Rural[[#This Row],[‫ینایر‬‏]]),"")</f>
        <v>13.963333333333333</v>
      </c>
    </row>
    <row r="47" spans="1:22" x14ac:dyDescent="0.35">
      <c r="A47" s="1">
        <v>52.2</v>
      </c>
      <c r="B47" s="1">
        <v>10.87</v>
      </c>
      <c r="C47" s="1">
        <v>16.55</v>
      </c>
      <c r="D47" s="1">
        <v>16.91</v>
      </c>
      <c r="E47" s="1">
        <v>18.239999999999998</v>
      </c>
      <c r="F47" s="1"/>
      <c r="G47" s="1"/>
      <c r="H47" s="1"/>
      <c r="I47" s="1"/>
      <c r="J47" s="1"/>
      <c r="K47" s="1"/>
      <c r="L47" s="1">
        <v>18.09</v>
      </c>
      <c r="M47" s="1">
        <v>17.38</v>
      </c>
      <c r="N47" s="1">
        <v>15</v>
      </c>
      <c r="O47" s="1">
        <v>13.66</v>
      </c>
      <c r="P47" t="s">
        <v>25</v>
      </c>
      <c r="Q47" t="s">
        <v>571</v>
      </c>
      <c r="R47" s="1" t="s">
        <v>526</v>
      </c>
      <c r="S47" s="1">
        <f>IFERROR(AVERAGE(Rural[[#This Row],[‫دیسمبر‬‏]]:Rural[[#This Row],[‫اكتوبر‬‏]]),"")</f>
        <v>17.574999999999999</v>
      </c>
      <c r="T47" s="1" t="str">
        <f>IFERROR(AVERAGE(Rural[[#This Row],[‫سبتمبر‬‏]]:Rural[[#This Row],[‫یولیو‬‏]]),"")</f>
        <v/>
      </c>
      <c r="U47" s="1">
        <f>IFERROR(AVERAGE(Rural[[#This Row],[‫یونیو‬‏]]:Rural[[#This Row],[‫ابریل‬‏]]),"")</f>
        <v>18.09</v>
      </c>
      <c r="V47" s="1">
        <f>IFERROR(AVERAGE(Rural[[#This Row],[‫مارس‬‏]]:Rural[[#This Row],[‫ینایر‬‏]]),"")</f>
        <v>15.346666666666664</v>
      </c>
    </row>
    <row r="48" spans="1:22" x14ac:dyDescent="0.35">
      <c r="A48" s="1">
        <v>58</v>
      </c>
      <c r="B48" s="1">
        <v>13.47</v>
      </c>
      <c r="C48" s="1">
        <v>21.28</v>
      </c>
      <c r="D48" s="1">
        <v>22.41</v>
      </c>
      <c r="E48" s="1">
        <v>25.32</v>
      </c>
      <c r="F48" s="1">
        <v>24.15</v>
      </c>
      <c r="G48" s="1"/>
      <c r="H48" s="1"/>
      <c r="I48" s="1"/>
      <c r="J48" s="1"/>
      <c r="K48" s="1"/>
      <c r="L48" s="1">
        <v>22.2</v>
      </c>
      <c r="M48" s="1">
        <v>21.88</v>
      </c>
      <c r="N48" s="1">
        <v>17.440000000000001</v>
      </c>
      <c r="O48" s="1">
        <v>15.53</v>
      </c>
      <c r="P48" t="s">
        <v>25</v>
      </c>
      <c r="Q48" t="s">
        <v>572</v>
      </c>
      <c r="R48" s="1" t="s">
        <v>526</v>
      </c>
      <c r="S48" s="1">
        <f>IFERROR(AVERAGE(Rural[[#This Row],[‫دیسمبر‬‏]]:Rural[[#This Row],[‫اكتوبر‬‏]]),"")</f>
        <v>23.959999999999997</v>
      </c>
      <c r="T48" s="1" t="str">
        <f>IFERROR(AVERAGE(Rural[[#This Row],[‫سبتمبر‬‏]]:Rural[[#This Row],[‫یولیو‬‏]]),"")</f>
        <v/>
      </c>
      <c r="U48" s="1">
        <f>IFERROR(AVERAGE(Rural[[#This Row],[‫یونیو‬‏]]:Rural[[#This Row],[‫ابریل‬‏]]),"")</f>
        <v>22.2</v>
      </c>
      <c r="V48" s="1">
        <f>IFERROR(AVERAGE(Rural[[#This Row],[‫مارس‬‏]]:Rural[[#This Row],[‫ینایر‬‏]]),"")</f>
        <v>18.283333333333335</v>
      </c>
    </row>
    <row r="49" spans="1:22" x14ac:dyDescent="0.35">
      <c r="A49" s="1">
        <v>53.9</v>
      </c>
      <c r="B49" s="1">
        <v>12.84</v>
      </c>
      <c r="C49" s="1">
        <v>19.760000000000002</v>
      </c>
      <c r="D49" s="1">
        <v>20.6</v>
      </c>
      <c r="E49" s="1">
        <v>20.16</v>
      </c>
      <c r="F49" s="1"/>
      <c r="G49" s="1"/>
      <c r="H49" s="1"/>
      <c r="I49" s="1"/>
      <c r="J49" s="1"/>
      <c r="K49" s="1"/>
      <c r="L49" s="1"/>
      <c r="M49" s="1">
        <v>22.96</v>
      </c>
      <c r="N49" s="1">
        <v>18.54</v>
      </c>
      <c r="O49" s="1">
        <v>16.55</v>
      </c>
      <c r="P49" t="s">
        <v>25</v>
      </c>
      <c r="Q49" t="s">
        <v>573</v>
      </c>
      <c r="R49" s="1" t="s">
        <v>526</v>
      </c>
      <c r="S49" s="1">
        <f>IFERROR(AVERAGE(Rural[[#This Row],[‫دیسمبر‬‏]]:Rural[[#This Row],[‫اكتوبر‬‏]]),"")</f>
        <v>20.380000000000003</v>
      </c>
      <c r="T49" s="1" t="str">
        <f>IFERROR(AVERAGE(Rural[[#This Row],[‫سبتمبر‬‏]]:Rural[[#This Row],[‫یولیو‬‏]]),"")</f>
        <v/>
      </c>
      <c r="U49" s="1" t="str">
        <f>IFERROR(AVERAGE(Rural[[#This Row],[‫یونیو‬‏]]:Rural[[#This Row],[‫ابریل‬‏]]),"")</f>
        <v/>
      </c>
      <c r="V49" s="1">
        <f>IFERROR(AVERAGE(Rural[[#This Row],[‫مارس‬‏]]:Rural[[#This Row],[‫ینایر‬‏]]),"")</f>
        <v>19.349999999999998</v>
      </c>
    </row>
    <row r="50" spans="1:22" x14ac:dyDescent="0.35">
      <c r="A50" s="1">
        <v>59.8</v>
      </c>
      <c r="B50" s="1">
        <v>11.56</v>
      </c>
      <c r="C50" s="1">
        <v>18.47</v>
      </c>
      <c r="D50" s="1">
        <v>19.399999999999999</v>
      </c>
      <c r="E50" s="1">
        <v>19.45</v>
      </c>
      <c r="F50" s="1"/>
      <c r="G50" s="1"/>
      <c r="H50" s="1"/>
      <c r="I50" s="1"/>
      <c r="J50" s="1"/>
      <c r="K50" s="1"/>
      <c r="L50" s="1"/>
      <c r="M50" s="1">
        <v>21.59</v>
      </c>
      <c r="N50" s="1">
        <v>16.7</v>
      </c>
      <c r="O50" s="1">
        <v>15.25</v>
      </c>
      <c r="P50" t="s">
        <v>25</v>
      </c>
      <c r="Q50" t="s">
        <v>574</v>
      </c>
      <c r="R50" s="1" t="s">
        <v>526</v>
      </c>
      <c r="S50" s="1">
        <f>IFERROR(AVERAGE(Rural[[#This Row],[‫دیسمبر‬‏]]:Rural[[#This Row],[‫اكتوبر‬‏]]),"")</f>
        <v>19.424999999999997</v>
      </c>
      <c r="T50" s="1" t="str">
        <f>IFERROR(AVERAGE(Rural[[#This Row],[‫سبتمبر‬‏]]:Rural[[#This Row],[‫یولیو‬‏]]),"")</f>
        <v/>
      </c>
      <c r="U50" s="1" t="str">
        <f>IFERROR(AVERAGE(Rural[[#This Row],[‫یونیو‬‏]]:Rural[[#This Row],[‫ابریل‬‏]]),"")</f>
        <v/>
      </c>
      <c r="V50" s="1">
        <f>IFERROR(AVERAGE(Rural[[#This Row],[‫مارس‬‏]]:Rural[[#This Row],[‫ینایر‬‏]]),"")</f>
        <v>17.846666666666668</v>
      </c>
    </row>
    <row r="51" spans="1:22" x14ac:dyDescent="0.35">
      <c r="A51" s="1">
        <v>37</v>
      </c>
      <c r="B51" s="1">
        <v>19.27</v>
      </c>
      <c r="C51" s="1">
        <v>26.4</v>
      </c>
      <c r="D51" s="1">
        <v>27.87</v>
      </c>
      <c r="E51" s="1">
        <v>25.09</v>
      </c>
      <c r="F51" s="1">
        <v>26.38</v>
      </c>
      <c r="G51" s="1">
        <v>23.99</v>
      </c>
      <c r="H51" s="1"/>
      <c r="I51" s="1"/>
      <c r="J51" s="1"/>
      <c r="K51" s="1"/>
      <c r="L51" s="1"/>
      <c r="M51" s="1"/>
      <c r="N51" s="1">
        <v>27.91</v>
      </c>
      <c r="O51" s="1">
        <v>27.15</v>
      </c>
      <c r="P51" t="s">
        <v>25</v>
      </c>
      <c r="Q51" t="s">
        <v>575</v>
      </c>
      <c r="R51" s="1" t="s">
        <v>526</v>
      </c>
      <c r="S51" s="1">
        <f>IFERROR(AVERAGE(Rural[[#This Row],[‫دیسمبر‬‏]]:Rural[[#This Row],[‫اكتوبر‬‏]]),"")</f>
        <v>26.446666666666669</v>
      </c>
      <c r="T51" s="1">
        <f>IFERROR(AVERAGE(Rural[[#This Row],[‫سبتمبر‬‏]]:Rural[[#This Row],[‫یولیو‬‏]]),"")</f>
        <v>23.99</v>
      </c>
      <c r="U51" s="1" t="str">
        <f>IFERROR(AVERAGE(Rural[[#This Row],[‫یونیو‬‏]]:Rural[[#This Row],[‫ابریل‬‏]]),"")</f>
        <v/>
      </c>
      <c r="V51" s="1">
        <f>IFERROR(AVERAGE(Rural[[#This Row],[‫مارس‬‏]]:Rural[[#This Row],[‫ینایر‬‏]]),"")</f>
        <v>27.53</v>
      </c>
    </row>
    <row r="52" spans="1:22" x14ac:dyDescent="0.35">
      <c r="A52" s="1">
        <v>74.2</v>
      </c>
      <c r="B52" s="1">
        <v>21.27</v>
      </c>
      <c r="C52" s="1">
        <v>37.049999999999997</v>
      </c>
      <c r="D52" s="1"/>
      <c r="E52" s="1"/>
      <c r="F52" s="1"/>
      <c r="G52" s="1"/>
      <c r="H52" s="1"/>
      <c r="I52" s="1">
        <v>32.229999999999997</v>
      </c>
      <c r="J52" s="1">
        <v>42.04</v>
      </c>
      <c r="K52" s="1">
        <v>37.24</v>
      </c>
      <c r="L52" s="1">
        <v>37.11</v>
      </c>
      <c r="M52" s="1">
        <v>36.53</v>
      </c>
      <c r="N52" s="1">
        <v>37.17</v>
      </c>
      <c r="O52" s="1"/>
      <c r="P52" t="s">
        <v>25</v>
      </c>
      <c r="Q52" t="s">
        <v>576</v>
      </c>
      <c r="R52" s="1" t="s">
        <v>526</v>
      </c>
      <c r="S52" s="1" t="str">
        <f>IFERROR(AVERAGE(Rural[[#This Row],[‫دیسمبر‬‏]]:Rural[[#This Row],[‫اكتوبر‬‏]]),"")</f>
        <v/>
      </c>
      <c r="T52" s="1">
        <f>IFERROR(AVERAGE(Rural[[#This Row],[‫سبتمبر‬‏]]:Rural[[#This Row],[‫یولیو‬‏]]),"")</f>
        <v>32.229999999999997</v>
      </c>
      <c r="U52" s="1">
        <f>IFERROR(AVERAGE(Rural[[#This Row],[‫یونیو‬‏]]:Rural[[#This Row],[‫ابریل‬‏]]),"")</f>
        <v>38.796666666666667</v>
      </c>
      <c r="V52" s="1">
        <f>IFERROR(AVERAGE(Rural[[#This Row],[‫مارس‬‏]]:Rural[[#This Row],[‫ینایر‬‏]]),"")</f>
        <v>36.85</v>
      </c>
    </row>
    <row r="53" spans="1:22" x14ac:dyDescent="0.35">
      <c r="A53" s="1">
        <v>36.700000000000003</v>
      </c>
      <c r="B53" s="1">
        <v>42.84</v>
      </c>
      <c r="C53" s="1">
        <v>58.54</v>
      </c>
      <c r="D53" s="1"/>
      <c r="E53" s="1"/>
      <c r="F53" s="1"/>
      <c r="G53" s="1"/>
      <c r="H53" s="1">
        <v>54.33</v>
      </c>
      <c r="I53" s="1">
        <v>54.55</v>
      </c>
      <c r="J53" s="1">
        <v>59.12</v>
      </c>
      <c r="K53" s="1">
        <v>66.180000000000007</v>
      </c>
      <c r="L53" s="1"/>
      <c r="M53" s="1"/>
      <c r="N53" s="1"/>
      <c r="O53" s="1"/>
      <c r="P53" t="s">
        <v>267</v>
      </c>
      <c r="Q53" t="s">
        <v>577</v>
      </c>
      <c r="R53" s="1" t="s">
        <v>526</v>
      </c>
      <c r="S53" s="1" t="str">
        <f>IFERROR(AVERAGE(Rural[[#This Row],[‫دیسمبر‬‏]]:Rural[[#This Row],[‫اكتوبر‬‏]]),"")</f>
        <v/>
      </c>
      <c r="T53" s="1">
        <f>IFERROR(AVERAGE(Rural[[#This Row],[‫سبتمبر‬‏]]:Rural[[#This Row],[‫یولیو‬‏]]),"")</f>
        <v>54.44</v>
      </c>
      <c r="U53" s="1">
        <f>IFERROR(AVERAGE(Rural[[#This Row],[‫یونیو‬‏]]:Rural[[#This Row],[‫ابریل‬‏]]),"")</f>
        <v>62.650000000000006</v>
      </c>
      <c r="V53" s="1" t="str">
        <f>IFERROR(AVERAGE(Rural[[#This Row],[‫مارس‬‏]]:Rural[[#This Row],[‫ینایر‬‏]]),"")</f>
        <v/>
      </c>
    </row>
    <row r="54" spans="1:22" x14ac:dyDescent="0.35">
      <c r="A54" s="1">
        <v>30.5</v>
      </c>
      <c r="B54" s="1">
        <v>33.82</v>
      </c>
      <c r="C54" s="1">
        <v>44.14</v>
      </c>
      <c r="D54" s="1"/>
      <c r="E54" s="1"/>
      <c r="F54" s="1"/>
      <c r="G54" s="1"/>
      <c r="H54" s="1">
        <v>41.09</v>
      </c>
      <c r="I54" s="1">
        <v>42.13</v>
      </c>
      <c r="J54" s="1">
        <v>45.06</v>
      </c>
      <c r="K54" s="1">
        <v>48.28</v>
      </c>
      <c r="L54" s="1"/>
      <c r="M54" s="1"/>
      <c r="N54" s="1"/>
      <c r="O54" s="1"/>
      <c r="P54" t="s">
        <v>267</v>
      </c>
      <c r="Q54" t="s">
        <v>578</v>
      </c>
      <c r="R54" s="1" t="s">
        <v>526</v>
      </c>
      <c r="S54" s="1" t="str">
        <f>IFERROR(AVERAGE(Rural[[#This Row],[‫دیسمبر‬‏]]:Rural[[#This Row],[‫اكتوبر‬‏]]),"")</f>
        <v/>
      </c>
      <c r="T54" s="1">
        <f>IFERROR(AVERAGE(Rural[[#This Row],[‫سبتمبر‬‏]]:Rural[[#This Row],[‫یولیو‬‏]]),"")</f>
        <v>41.61</v>
      </c>
      <c r="U54" s="1">
        <f>IFERROR(AVERAGE(Rural[[#This Row],[‫یونیو‬‏]]:Rural[[#This Row],[‫ابریل‬‏]]),"")</f>
        <v>46.67</v>
      </c>
      <c r="V54" s="1" t="str">
        <f>IFERROR(AVERAGE(Rural[[#This Row],[‫مارس‬‏]]:Rural[[#This Row],[‫ینایر‬‏]]),"")</f>
        <v/>
      </c>
    </row>
    <row r="55" spans="1:22" x14ac:dyDescent="0.35">
      <c r="A55" s="1">
        <v>17.7</v>
      </c>
      <c r="B55" s="1">
        <v>15.78</v>
      </c>
      <c r="C55" s="1">
        <v>18.57</v>
      </c>
      <c r="D55" s="1"/>
      <c r="E55" s="1"/>
      <c r="F55" s="1"/>
      <c r="G55" s="1"/>
      <c r="H55" s="1">
        <v>18.13</v>
      </c>
      <c r="I55" s="1">
        <v>17.579999999999998</v>
      </c>
      <c r="J55" s="1">
        <v>18.350000000000001</v>
      </c>
      <c r="K55" s="1">
        <v>18.59</v>
      </c>
      <c r="L55" s="1">
        <v>20.23</v>
      </c>
      <c r="M55" s="1"/>
      <c r="N55" s="1"/>
      <c r="O55" s="1"/>
      <c r="P55" t="s">
        <v>25</v>
      </c>
      <c r="Q55" t="s">
        <v>579</v>
      </c>
      <c r="R55" s="1" t="s">
        <v>526</v>
      </c>
      <c r="S55" s="1" t="str">
        <f>IFERROR(AVERAGE(Rural[[#This Row],[‫دیسمبر‬‏]]:Rural[[#This Row],[‫اكتوبر‬‏]]),"")</f>
        <v/>
      </c>
      <c r="T55" s="1">
        <f>IFERROR(AVERAGE(Rural[[#This Row],[‫سبتمبر‬‏]]:Rural[[#This Row],[‫یولیو‬‏]]),"")</f>
        <v>17.854999999999997</v>
      </c>
      <c r="U55" s="1">
        <f>IFERROR(AVERAGE(Rural[[#This Row],[‫یونیو‬‏]]:Rural[[#This Row],[‫ابریل‬‏]]),"")</f>
        <v>19.056666666666668</v>
      </c>
      <c r="V55" s="1" t="str">
        <f>IFERROR(AVERAGE(Rural[[#This Row],[‫مارس‬‏]]:Rural[[#This Row],[‫ینایر‬‏]]),"")</f>
        <v/>
      </c>
    </row>
    <row r="56" spans="1:22" x14ac:dyDescent="0.35">
      <c r="A56" s="1">
        <v>30.6</v>
      </c>
      <c r="B56" s="1">
        <v>15.39</v>
      </c>
      <c r="C56" s="1">
        <v>20.11</v>
      </c>
      <c r="D56" s="1">
        <v>21.89</v>
      </c>
      <c r="E56" s="1">
        <v>21.61</v>
      </c>
      <c r="F56" s="1">
        <v>21.06</v>
      </c>
      <c r="G56" s="1">
        <v>20.93</v>
      </c>
      <c r="H56" s="1">
        <v>20.83</v>
      </c>
      <c r="I56" s="1">
        <v>19.5</v>
      </c>
      <c r="J56" s="1">
        <v>19.760000000000002</v>
      </c>
      <c r="K56" s="1">
        <v>20.79</v>
      </c>
      <c r="L56" s="1">
        <v>20.260000000000002</v>
      </c>
      <c r="M56" s="1">
        <v>20.440000000000001</v>
      </c>
      <c r="N56" s="1">
        <v>17.420000000000002</v>
      </c>
      <c r="O56" s="1">
        <v>16.760000000000002</v>
      </c>
      <c r="P56" t="s">
        <v>25</v>
      </c>
      <c r="Q56" t="s">
        <v>580</v>
      </c>
      <c r="R56" s="1" t="s">
        <v>526</v>
      </c>
      <c r="S56" s="1">
        <f>IFERROR(AVERAGE(Rural[[#This Row],[‫دیسمبر‬‏]]:Rural[[#This Row],[‫اكتوبر‬‏]]),"")</f>
        <v>21.52</v>
      </c>
      <c r="T56" s="1">
        <f>IFERROR(AVERAGE(Rural[[#This Row],[‫سبتمبر‬‏]]:Rural[[#This Row],[‫یولیو‬‏]]),"")</f>
        <v>20.419999999999998</v>
      </c>
      <c r="U56" s="1">
        <f>IFERROR(AVERAGE(Rural[[#This Row],[‫یونیو‬‏]]:Rural[[#This Row],[‫ابریل‬‏]]),"")</f>
        <v>20.27</v>
      </c>
      <c r="V56" s="1">
        <f>IFERROR(AVERAGE(Rural[[#This Row],[‫مارس‬‏]]:Rural[[#This Row],[‫ینایر‬‏]]),"")</f>
        <v>18.206666666666667</v>
      </c>
    </row>
    <row r="57" spans="1:22" x14ac:dyDescent="0.35">
      <c r="A57" s="1">
        <v>150.19999999999999</v>
      </c>
      <c r="B57" s="1">
        <v>8.9600000000000009</v>
      </c>
      <c r="C57" s="1">
        <v>22.41</v>
      </c>
      <c r="D57" s="1"/>
      <c r="E57" s="1"/>
      <c r="F57" s="1"/>
      <c r="G57" s="1"/>
      <c r="H57" s="1"/>
      <c r="I57" s="1"/>
      <c r="J57" s="1">
        <v>24.25</v>
      </c>
      <c r="K57" s="1">
        <v>20.57</v>
      </c>
      <c r="L57" s="1"/>
      <c r="M57" s="1"/>
      <c r="N57" s="1"/>
      <c r="O57" s="1"/>
      <c r="P57" t="s">
        <v>25</v>
      </c>
      <c r="Q57" t="s">
        <v>581</v>
      </c>
      <c r="R57" s="1" t="s">
        <v>526</v>
      </c>
      <c r="S57" s="1" t="str">
        <f>IFERROR(AVERAGE(Rural[[#This Row],[‫دیسمبر‬‏]]:Rural[[#This Row],[‫اكتوبر‬‏]]),"")</f>
        <v/>
      </c>
      <c r="T57" s="1" t="str">
        <f>IFERROR(AVERAGE(Rural[[#This Row],[‫سبتمبر‬‏]]:Rural[[#This Row],[‫یولیو‬‏]]),"")</f>
        <v/>
      </c>
      <c r="U57" s="1">
        <f>IFERROR(AVERAGE(Rural[[#This Row],[‫یونیو‬‏]]:Rural[[#This Row],[‫ابریل‬‏]]),"")</f>
        <v>22.41</v>
      </c>
      <c r="V57" s="1" t="str">
        <f>IFERROR(AVERAGE(Rural[[#This Row],[‫مارس‬‏]]:Rural[[#This Row],[‫ینایر‬‏]]),"")</f>
        <v/>
      </c>
    </row>
    <row r="58" spans="1:22" x14ac:dyDescent="0.35">
      <c r="A58" s="1">
        <v>38.6</v>
      </c>
      <c r="B58" s="1">
        <v>42.93</v>
      </c>
      <c r="C58" s="1">
        <v>59.53</v>
      </c>
      <c r="D58" s="1"/>
      <c r="E58" s="1"/>
      <c r="F58" s="1"/>
      <c r="G58" s="1"/>
      <c r="H58" s="1"/>
      <c r="I58" s="1"/>
      <c r="J58" s="1">
        <v>63.6</v>
      </c>
      <c r="K58" s="1">
        <v>55.45</v>
      </c>
      <c r="L58" s="1"/>
      <c r="M58" s="1"/>
      <c r="N58" s="1"/>
      <c r="O58" s="1"/>
      <c r="P58" t="s">
        <v>25</v>
      </c>
      <c r="Q58" t="s">
        <v>582</v>
      </c>
      <c r="R58" s="1" t="s">
        <v>526</v>
      </c>
      <c r="S58" s="1" t="str">
        <f>IFERROR(AVERAGE(Rural[[#This Row],[‫دیسمبر‬‏]]:Rural[[#This Row],[‫اكتوبر‬‏]]),"")</f>
        <v/>
      </c>
      <c r="T58" s="1" t="str">
        <f>IFERROR(AVERAGE(Rural[[#This Row],[‫سبتمبر‬‏]]:Rural[[#This Row],[‫یولیو‬‏]]),"")</f>
        <v/>
      </c>
      <c r="U58" s="1">
        <f>IFERROR(AVERAGE(Rural[[#This Row],[‫یونیو‬‏]]:Rural[[#This Row],[‫ابریل‬‏]]),"")</f>
        <v>59.525000000000006</v>
      </c>
      <c r="V58" s="1" t="str">
        <f>IFERROR(AVERAGE(Rural[[#This Row],[‫مارس‬‏]]:Rural[[#This Row],[‫ینایر‬‏]]),"")</f>
        <v/>
      </c>
    </row>
    <row r="59" spans="1:22" x14ac:dyDescent="0.35">
      <c r="A59" s="1">
        <v>23</v>
      </c>
      <c r="B59" s="1">
        <v>27.79</v>
      </c>
      <c r="C59" s="1">
        <v>34.17</v>
      </c>
      <c r="D59" s="1"/>
      <c r="E59" s="1"/>
      <c r="F59" s="1"/>
      <c r="G59" s="1">
        <v>29.91</v>
      </c>
      <c r="H59" s="1">
        <v>29.57</v>
      </c>
      <c r="I59" s="1">
        <v>31.93</v>
      </c>
      <c r="J59" s="1">
        <v>45.27</v>
      </c>
      <c r="K59" s="1"/>
      <c r="L59" s="1"/>
      <c r="M59" s="1"/>
      <c r="N59" s="1"/>
      <c r="O59" s="1"/>
      <c r="P59" t="s">
        <v>25</v>
      </c>
      <c r="Q59" t="s">
        <v>583</v>
      </c>
      <c r="R59" s="1" t="s">
        <v>526</v>
      </c>
      <c r="S59" s="1" t="str">
        <f>IFERROR(AVERAGE(Rural[[#This Row],[‫دیسمبر‬‏]]:Rural[[#This Row],[‫اكتوبر‬‏]]),"")</f>
        <v/>
      </c>
      <c r="T59" s="1">
        <f>IFERROR(AVERAGE(Rural[[#This Row],[‫سبتمبر‬‏]]:Rural[[#This Row],[‫یولیو‬‏]]),"")</f>
        <v>30.47</v>
      </c>
      <c r="U59" s="1">
        <f>IFERROR(AVERAGE(Rural[[#This Row],[‫یونیو‬‏]]:Rural[[#This Row],[‫ابریل‬‏]]),"")</f>
        <v>45.27</v>
      </c>
      <c r="V59" s="1" t="str">
        <f>IFERROR(AVERAGE(Rural[[#This Row],[‫مارس‬‏]]:Rural[[#This Row],[‫ینایر‬‏]]),"")</f>
        <v/>
      </c>
    </row>
    <row r="60" spans="1:22" x14ac:dyDescent="0.35">
      <c r="A60" s="1">
        <v>26.5</v>
      </c>
      <c r="B60" s="1">
        <v>35.56</v>
      </c>
      <c r="C60" s="1">
        <v>45</v>
      </c>
      <c r="D60" s="1"/>
      <c r="E60" s="1"/>
      <c r="F60" s="1"/>
      <c r="G60" s="1">
        <v>38.29</v>
      </c>
      <c r="H60" s="1">
        <v>39.64</v>
      </c>
      <c r="I60" s="1">
        <v>43.13</v>
      </c>
      <c r="J60" s="1">
        <v>58.96</v>
      </c>
      <c r="K60" s="1"/>
      <c r="L60" s="1"/>
      <c r="M60" s="1"/>
      <c r="N60" s="1"/>
      <c r="O60" s="1"/>
      <c r="P60" t="s">
        <v>25</v>
      </c>
      <c r="Q60" t="s">
        <v>584</v>
      </c>
      <c r="R60" s="1" t="s">
        <v>526</v>
      </c>
      <c r="S60" s="1" t="str">
        <f>IFERROR(AVERAGE(Rural[[#This Row],[‫دیسمبر‬‏]]:Rural[[#This Row],[‫اكتوبر‬‏]]),"")</f>
        <v/>
      </c>
      <c r="T60" s="1">
        <f>IFERROR(AVERAGE(Rural[[#This Row],[‫سبتمبر‬‏]]:Rural[[#This Row],[‫یولیو‬‏]]),"")</f>
        <v>40.353333333333332</v>
      </c>
      <c r="U60" s="1">
        <f>IFERROR(AVERAGE(Rural[[#This Row],[‫یونیو‬‏]]:Rural[[#This Row],[‫ابریل‬‏]]),"")</f>
        <v>58.96</v>
      </c>
      <c r="V60" s="1" t="str">
        <f>IFERROR(AVERAGE(Rural[[#This Row],[‫مارس‬‏]]:Rural[[#This Row],[‫ینایر‬‏]]),"")</f>
        <v/>
      </c>
    </row>
    <row r="61" spans="1:22" x14ac:dyDescent="0.35">
      <c r="A61" s="1">
        <v>43</v>
      </c>
      <c r="B61" s="1">
        <v>30.34</v>
      </c>
      <c r="C61" s="1">
        <v>43.4</v>
      </c>
      <c r="D61" s="1"/>
      <c r="E61" s="1"/>
      <c r="F61" s="1"/>
      <c r="G61" s="1"/>
      <c r="H61" s="1">
        <v>42.42</v>
      </c>
      <c r="I61" s="1">
        <v>44.84</v>
      </c>
      <c r="J61" s="1">
        <v>44.27</v>
      </c>
      <c r="K61" s="1">
        <v>42.06</v>
      </c>
      <c r="L61" s="1"/>
      <c r="M61" s="1"/>
      <c r="N61" s="1"/>
      <c r="O61" s="1"/>
      <c r="P61" t="s">
        <v>25</v>
      </c>
      <c r="Q61" t="s">
        <v>585</v>
      </c>
      <c r="R61" s="1" t="s">
        <v>526</v>
      </c>
      <c r="S61" s="1" t="str">
        <f>IFERROR(AVERAGE(Rural[[#This Row],[‫دیسمبر‬‏]]:Rural[[#This Row],[‫اكتوبر‬‏]]),"")</f>
        <v/>
      </c>
      <c r="T61" s="1">
        <f>IFERROR(AVERAGE(Rural[[#This Row],[‫سبتمبر‬‏]]:Rural[[#This Row],[‫یولیو‬‏]]),"")</f>
        <v>43.63</v>
      </c>
      <c r="U61" s="1">
        <f>IFERROR(AVERAGE(Rural[[#This Row],[‫یونیو‬‏]]:Rural[[#This Row],[‫ابریل‬‏]]),"")</f>
        <v>43.165000000000006</v>
      </c>
      <c r="V61" s="1" t="str">
        <f>IFERROR(AVERAGE(Rural[[#This Row],[‫مارس‬‏]]:Rural[[#This Row],[‫ینایر‬‏]]),"")</f>
        <v/>
      </c>
    </row>
    <row r="62" spans="1:22" x14ac:dyDescent="0.35">
      <c r="A62" s="1">
        <v>27</v>
      </c>
      <c r="B62" s="1">
        <v>32.799999999999997</v>
      </c>
      <c r="C62" s="1">
        <v>41.68</v>
      </c>
      <c r="D62" s="1"/>
      <c r="E62" s="1"/>
      <c r="F62" s="1">
        <v>39.700000000000003</v>
      </c>
      <c r="G62" s="1">
        <v>40.94</v>
      </c>
      <c r="H62" s="1">
        <v>44.39</v>
      </c>
      <c r="I62" s="1"/>
      <c r="J62" s="1"/>
      <c r="K62" s="1"/>
      <c r="L62" s="1"/>
      <c r="M62" s="1"/>
      <c r="N62" s="1"/>
      <c r="O62" s="1"/>
      <c r="P62" t="s">
        <v>25</v>
      </c>
      <c r="Q62" t="s">
        <v>586</v>
      </c>
      <c r="R62" s="1" t="s">
        <v>526</v>
      </c>
      <c r="S62" s="1">
        <f>IFERROR(AVERAGE(Rural[[#This Row],[‫دیسمبر‬‏]]:Rural[[#This Row],[‫اكتوبر‬‏]]),"")</f>
        <v>39.700000000000003</v>
      </c>
      <c r="T62" s="1">
        <f>IFERROR(AVERAGE(Rural[[#This Row],[‫سبتمبر‬‏]]:Rural[[#This Row],[‫یولیو‬‏]]),"")</f>
        <v>42.664999999999999</v>
      </c>
      <c r="U62" s="1" t="str">
        <f>IFERROR(AVERAGE(Rural[[#This Row],[‫یونیو‬‏]]:Rural[[#This Row],[‫ابریل‬‏]]),"")</f>
        <v/>
      </c>
      <c r="V62" s="1" t="str">
        <f>IFERROR(AVERAGE(Rural[[#This Row],[‫مارس‬‏]]:Rural[[#This Row],[‫ینایر‬‏]]),"")</f>
        <v/>
      </c>
    </row>
    <row r="63" spans="1:22" x14ac:dyDescent="0.35">
      <c r="A63" s="1">
        <v>31.8</v>
      </c>
      <c r="B63" s="1">
        <v>45.28</v>
      </c>
      <c r="C63" s="1">
        <v>59.67</v>
      </c>
      <c r="D63" s="1"/>
      <c r="E63" s="1"/>
      <c r="F63" s="1"/>
      <c r="G63" s="1"/>
      <c r="H63" s="1"/>
      <c r="I63" s="1">
        <v>57.36</v>
      </c>
      <c r="J63" s="1">
        <v>61.98</v>
      </c>
      <c r="K63" s="1"/>
      <c r="L63" s="1"/>
      <c r="M63" s="1"/>
      <c r="N63" s="1"/>
      <c r="O63" s="1"/>
      <c r="P63" t="s">
        <v>25</v>
      </c>
      <c r="Q63" t="s">
        <v>587</v>
      </c>
      <c r="R63" s="1" t="s">
        <v>526</v>
      </c>
      <c r="S63" s="1" t="str">
        <f>IFERROR(AVERAGE(Rural[[#This Row],[‫دیسمبر‬‏]]:Rural[[#This Row],[‫اكتوبر‬‏]]),"")</f>
        <v/>
      </c>
      <c r="T63" s="1">
        <f>IFERROR(AVERAGE(Rural[[#This Row],[‫سبتمبر‬‏]]:Rural[[#This Row],[‫یولیو‬‏]]),"")</f>
        <v>57.36</v>
      </c>
      <c r="U63" s="1">
        <f>IFERROR(AVERAGE(Rural[[#This Row],[‫یونیو‬‏]]:Rural[[#This Row],[‫ابریل‬‏]]),"")</f>
        <v>61.98</v>
      </c>
      <c r="V63" s="1" t="str">
        <f>IFERROR(AVERAGE(Rural[[#This Row],[‫مارس‬‏]]:Rural[[#This Row],[‫ینایر‬‏]]),"")</f>
        <v/>
      </c>
    </row>
    <row r="64" spans="1:22" x14ac:dyDescent="0.35">
      <c r="A64" s="1">
        <v>14</v>
      </c>
      <c r="B64" s="1">
        <v>31.71</v>
      </c>
      <c r="C64" s="1">
        <v>36.14</v>
      </c>
      <c r="D64" s="1"/>
      <c r="E64" s="1"/>
      <c r="F64" s="1">
        <v>36.049999999999997</v>
      </c>
      <c r="G64" s="1">
        <v>35.4</v>
      </c>
      <c r="H64" s="1">
        <v>35.68</v>
      </c>
      <c r="I64" s="1">
        <v>37.44</v>
      </c>
      <c r="J64" s="1"/>
      <c r="K64" s="1"/>
      <c r="L64" s="1"/>
      <c r="M64" s="1"/>
      <c r="N64" s="1"/>
      <c r="O64" s="1"/>
      <c r="P64" t="s">
        <v>25</v>
      </c>
      <c r="Q64" t="s">
        <v>588</v>
      </c>
      <c r="R64" s="1" t="s">
        <v>526</v>
      </c>
      <c r="S64" s="1">
        <f>IFERROR(AVERAGE(Rural[[#This Row],[‫دیسمبر‬‏]]:Rural[[#This Row],[‫اكتوبر‬‏]]),"")</f>
        <v>36.049999999999997</v>
      </c>
      <c r="T64" s="1">
        <f>IFERROR(AVERAGE(Rural[[#This Row],[‫سبتمبر‬‏]]:Rural[[#This Row],[‫یولیو‬‏]]),"")</f>
        <v>36.173333333333332</v>
      </c>
      <c r="U64" s="1" t="str">
        <f>IFERROR(AVERAGE(Rural[[#This Row],[‫یونیو‬‏]]:Rural[[#This Row],[‫ابریل‬‏]]),"")</f>
        <v/>
      </c>
      <c r="V64" s="1" t="str">
        <f>IFERROR(AVERAGE(Rural[[#This Row],[‫مارس‬‏]]:Rural[[#This Row],[‫ینایر‬‏]]),"")</f>
        <v/>
      </c>
    </row>
    <row r="65" spans="1:22" x14ac:dyDescent="0.35">
      <c r="A65" s="1">
        <v>36.799999999999997</v>
      </c>
      <c r="B65" s="1">
        <v>31.62</v>
      </c>
      <c r="C65" s="1">
        <v>43.26</v>
      </c>
      <c r="D65" s="1"/>
      <c r="E65" s="1"/>
      <c r="F65" s="1"/>
      <c r="G65" s="1">
        <v>45.11</v>
      </c>
      <c r="H65" s="1">
        <v>41.41</v>
      </c>
      <c r="I65" s="1"/>
      <c r="J65" s="1"/>
      <c r="K65" s="1"/>
      <c r="L65" s="1"/>
      <c r="M65" s="1"/>
      <c r="N65" s="1"/>
      <c r="O65" s="1"/>
      <c r="P65" t="s">
        <v>25</v>
      </c>
      <c r="Q65" t="s">
        <v>589</v>
      </c>
      <c r="R65" s="1" t="s">
        <v>526</v>
      </c>
      <c r="S65" s="1" t="str">
        <f>IFERROR(AVERAGE(Rural[[#This Row],[‫دیسمبر‬‏]]:Rural[[#This Row],[‫اكتوبر‬‏]]),"")</f>
        <v/>
      </c>
      <c r="T65" s="1">
        <f>IFERROR(AVERAGE(Rural[[#This Row],[‫سبتمبر‬‏]]:Rural[[#This Row],[‫یولیو‬‏]]),"")</f>
        <v>43.26</v>
      </c>
      <c r="U65" s="1" t="str">
        <f>IFERROR(AVERAGE(Rural[[#This Row],[‫یونیو‬‏]]:Rural[[#This Row],[‫ابریل‬‏]]),"")</f>
        <v/>
      </c>
      <c r="V65" s="1" t="str">
        <f>IFERROR(AVERAGE(Rural[[#This Row],[‫مارس‬‏]]:Rural[[#This Row],[‫ینایر‬‏]]),"")</f>
        <v/>
      </c>
    </row>
    <row r="66" spans="1:22" x14ac:dyDescent="0.35">
      <c r="A66" s="1">
        <v>40.1</v>
      </c>
      <c r="B66" s="1">
        <v>28.8</v>
      </c>
      <c r="C66" s="1">
        <v>40.35</v>
      </c>
      <c r="D66" s="1"/>
      <c r="E66" s="1"/>
      <c r="F66" s="1"/>
      <c r="G66" s="1">
        <v>42.75</v>
      </c>
      <c r="H66" s="1">
        <v>37.94</v>
      </c>
      <c r="I66" s="1"/>
      <c r="J66" s="1"/>
      <c r="K66" s="1"/>
      <c r="L66" s="1"/>
      <c r="M66" s="1"/>
      <c r="N66" s="1"/>
      <c r="O66" s="1"/>
      <c r="P66" t="s">
        <v>25</v>
      </c>
      <c r="Q66" t="s">
        <v>590</v>
      </c>
      <c r="R66" s="1" t="s">
        <v>526</v>
      </c>
      <c r="S66" s="1" t="str">
        <f>IFERROR(AVERAGE(Rural[[#This Row],[‫دیسمبر‬‏]]:Rural[[#This Row],[‫اكتوبر‬‏]]),"")</f>
        <v/>
      </c>
      <c r="T66" s="1">
        <f>IFERROR(AVERAGE(Rural[[#This Row],[‫سبتمبر‬‏]]:Rural[[#This Row],[‫یولیو‬‏]]),"")</f>
        <v>40.344999999999999</v>
      </c>
      <c r="U66" s="1" t="str">
        <f>IFERROR(AVERAGE(Rural[[#This Row],[‫یونیو‬‏]]:Rural[[#This Row],[‫ابریل‬‏]]),"")</f>
        <v/>
      </c>
      <c r="V66" s="1" t="str">
        <f>IFERROR(AVERAGE(Rural[[#This Row],[‫مارس‬‏]]:Rural[[#This Row],[‫ینایر‬‏]]),"")</f>
        <v/>
      </c>
    </row>
    <row r="67" spans="1:22" x14ac:dyDescent="0.35">
      <c r="A67" s="1">
        <v>48.9</v>
      </c>
      <c r="B67" s="1">
        <v>27.91</v>
      </c>
      <c r="C67" s="1">
        <v>41.57</v>
      </c>
      <c r="D67" s="1"/>
      <c r="E67" s="1"/>
      <c r="F67" s="1"/>
      <c r="G67" s="1">
        <v>43.78</v>
      </c>
      <c r="H67" s="1">
        <v>39.369999999999997</v>
      </c>
      <c r="I67" s="1"/>
      <c r="J67" s="1"/>
      <c r="K67" s="1"/>
      <c r="L67" s="1"/>
      <c r="M67" s="1"/>
      <c r="N67" s="1"/>
      <c r="O67" s="1"/>
      <c r="P67" t="s">
        <v>25</v>
      </c>
      <c r="Q67" t="s">
        <v>591</v>
      </c>
      <c r="R67" s="1" t="s">
        <v>526</v>
      </c>
      <c r="S67" s="1" t="str">
        <f>IFERROR(AVERAGE(Rural[[#This Row],[‫دیسمبر‬‏]]:Rural[[#This Row],[‫اكتوبر‬‏]]),"")</f>
        <v/>
      </c>
      <c r="T67" s="1">
        <f>IFERROR(AVERAGE(Rural[[#This Row],[‫سبتمبر‬‏]]:Rural[[#This Row],[‫یولیو‬‏]]),"")</f>
        <v>41.575000000000003</v>
      </c>
      <c r="U67" s="1" t="str">
        <f>IFERROR(AVERAGE(Rural[[#This Row],[‫یونیو‬‏]]:Rural[[#This Row],[‫ابریل‬‏]]),"")</f>
        <v/>
      </c>
      <c r="V67" s="1" t="str">
        <f>IFERROR(AVERAGE(Rural[[#This Row],[‫مارس‬‏]]:Rural[[#This Row],[‫ینایر‬‏]]),"")</f>
        <v/>
      </c>
    </row>
    <row r="68" spans="1:22" x14ac:dyDescent="0.35">
      <c r="A68" s="1">
        <v>42.3</v>
      </c>
      <c r="B68" s="1">
        <v>20.56</v>
      </c>
      <c r="C68" s="1">
        <v>29.26</v>
      </c>
      <c r="D68" s="1">
        <v>26.99</v>
      </c>
      <c r="E68" s="1">
        <v>25.94</v>
      </c>
      <c r="F68" s="1">
        <v>27.58</v>
      </c>
      <c r="G68" s="1">
        <v>33.96</v>
      </c>
      <c r="H68" s="1">
        <v>31.85</v>
      </c>
      <c r="I68" s="1"/>
      <c r="J68" s="1"/>
      <c r="K68" s="1"/>
      <c r="L68" s="1"/>
      <c r="M68" s="1"/>
      <c r="N68" s="1"/>
      <c r="O68" s="1"/>
      <c r="P68" t="s">
        <v>25</v>
      </c>
      <c r="Q68" t="s">
        <v>592</v>
      </c>
      <c r="R68" s="1" t="s">
        <v>526</v>
      </c>
      <c r="S68" s="1">
        <f>IFERROR(AVERAGE(Rural[[#This Row],[‫دیسمبر‬‏]]:Rural[[#This Row],[‫اكتوبر‬‏]]),"")</f>
        <v>26.836666666666662</v>
      </c>
      <c r="T68" s="1">
        <f>IFERROR(AVERAGE(Rural[[#This Row],[‫سبتمبر‬‏]]:Rural[[#This Row],[‫یولیو‬‏]]),"")</f>
        <v>32.905000000000001</v>
      </c>
      <c r="U68" s="1" t="str">
        <f>IFERROR(AVERAGE(Rural[[#This Row],[‫یونیو‬‏]]:Rural[[#This Row],[‫ابریل‬‏]]),"")</f>
        <v/>
      </c>
      <c r="V68" s="1" t="str">
        <f>IFERROR(AVERAGE(Rural[[#This Row],[‫مارس‬‏]]:Rural[[#This Row],[‫ینایر‬‏]]),"")</f>
        <v/>
      </c>
    </row>
    <row r="69" spans="1:22" x14ac:dyDescent="0.35">
      <c r="A69" s="1">
        <v>25.2</v>
      </c>
      <c r="B69" s="1">
        <v>22.03</v>
      </c>
      <c r="C69" s="1">
        <v>27.58</v>
      </c>
      <c r="D69" s="1"/>
      <c r="E69" s="1">
        <v>28.58</v>
      </c>
      <c r="F69" s="1">
        <v>28.19</v>
      </c>
      <c r="G69" s="1">
        <v>25.97</v>
      </c>
      <c r="H69" s="1"/>
      <c r="I69" s="1"/>
      <c r="J69" s="1"/>
      <c r="K69" s="1"/>
      <c r="L69" s="1"/>
      <c r="M69" s="1"/>
      <c r="N69" s="1"/>
      <c r="O69" s="1"/>
      <c r="P69" t="s">
        <v>25</v>
      </c>
      <c r="Q69" t="s">
        <v>593</v>
      </c>
      <c r="R69" s="1" t="s">
        <v>526</v>
      </c>
      <c r="S69" s="1">
        <f>IFERROR(AVERAGE(Rural[[#This Row],[‫دیسمبر‬‏]]:Rural[[#This Row],[‫اكتوبر‬‏]]),"")</f>
        <v>28.384999999999998</v>
      </c>
      <c r="T69" s="1">
        <f>IFERROR(AVERAGE(Rural[[#This Row],[‫سبتمبر‬‏]]:Rural[[#This Row],[‫یولیو‬‏]]),"")</f>
        <v>25.97</v>
      </c>
      <c r="U69" s="1" t="str">
        <f>IFERROR(AVERAGE(Rural[[#This Row],[‫یونیو‬‏]]:Rural[[#This Row],[‫ابریل‬‏]]),"")</f>
        <v/>
      </c>
      <c r="V69" s="1" t="str">
        <f>IFERROR(AVERAGE(Rural[[#This Row],[‫مارس‬‏]]:Rural[[#This Row],[‫ینایر‬‏]]),"")</f>
        <v/>
      </c>
    </row>
    <row r="70" spans="1:22" x14ac:dyDescent="0.35">
      <c r="A70" s="1">
        <v>15</v>
      </c>
      <c r="B70" s="1">
        <v>23.92</v>
      </c>
      <c r="C70" s="1">
        <v>27.52</v>
      </c>
      <c r="D70" s="1"/>
      <c r="E70" s="1">
        <v>27.64</v>
      </c>
      <c r="F70" s="1">
        <v>27.17</v>
      </c>
      <c r="G70" s="1">
        <v>27.73</v>
      </c>
      <c r="H70" s="1"/>
      <c r="I70" s="1"/>
      <c r="J70" s="1"/>
      <c r="K70" s="1"/>
      <c r="L70" s="1"/>
      <c r="M70" s="1"/>
      <c r="N70" s="1"/>
      <c r="O70" s="1"/>
      <c r="P70" t="s">
        <v>25</v>
      </c>
      <c r="Q70" t="s">
        <v>594</v>
      </c>
      <c r="R70" s="1" t="s">
        <v>526</v>
      </c>
      <c r="S70" s="1">
        <f>IFERROR(AVERAGE(Rural[[#This Row],[‫دیسمبر‬‏]]:Rural[[#This Row],[‫اكتوبر‬‏]]),"")</f>
        <v>27.405000000000001</v>
      </c>
      <c r="T70" s="1">
        <f>IFERROR(AVERAGE(Rural[[#This Row],[‫سبتمبر‬‏]]:Rural[[#This Row],[‫یولیو‬‏]]),"")</f>
        <v>27.73</v>
      </c>
      <c r="U70" s="1" t="str">
        <f>IFERROR(AVERAGE(Rural[[#This Row],[‫یونیو‬‏]]:Rural[[#This Row],[‫ابریل‬‏]]),"")</f>
        <v/>
      </c>
      <c r="V70" s="1" t="str">
        <f>IFERROR(AVERAGE(Rural[[#This Row],[‫مارس‬‏]]:Rural[[#This Row],[‫ینایر‬‏]]),"")</f>
        <v/>
      </c>
    </row>
    <row r="71" spans="1:22" x14ac:dyDescent="0.35">
      <c r="A71" s="1">
        <v>24.5</v>
      </c>
      <c r="B71" s="1">
        <v>20.22</v>
      </c>
      <c r="C71" s="1">
        <v>25.18</v>
      </c>
      <c r="D71" s="1"/>
      <c r="E71" s="1">
        <v>24.82</v>
      </c>
      <c r="F71" s="1">
        <v>24.99</v>
      </c>
      <c r="G71" s="1">
        <v>25.73</v>
      </c>
      <c r="H71" s="1"/>
      <c r="I71" s="1"/>
      <c r="J71" s="1"/>
      <c r="K71" s="1"/>
      <c r="L71" s="1"/>
      <c r="M71" s="1"/>
      <c r="N71" s="1"/>
      <c r="O71" s="1"/>
      <c r="P71" t="s">
        <v>25</v>
      </c>
      <c r="Q71" t="s">
        <v>595</v>
      </c>
      <c r="R71" s="1" t="s">
        <v>526</v>
      </c>
      <c r="S71" s="1">
        <f>IFERROR(AVERAGE(Rural[[#This Row],[‫دیسمبر‬‏]]:Rural[[#This Row],[‫اكتوبر‬‏]]),"")</f>
        <v>24.905000000000001</v>
      </c>
      <c r="T71" s="1">
        <f>IFERROR(AVERAGE(Rural[[#This Row],[‫سبتمبر‬‏]]:Rural[[#This Row],[‫یولیو‬‏]]),"")</f>
        <v>25.73</v>
      </c>
      <c r="U71" s="1" t="str">
        <f>IFERROR(AVERAGE(Rural[[#This Row],[‫یونیو‬‏]]:Rural[[#This Row],[‫ابریل‬‏]]),"")</f>
        <v/>
      </c>
      <c r="V71" s="1" t="str">
        <f>IFERROR(AVERAGE(Rural[[#This Row],[‫مارس‬‏]]:Rural[[#This Row],[‫ینایر‬‏]]),"")</f>
        <v/>
      </c>
    </row>
    <row r="72" spans="1:22" x14ac:dyDescent="0.35">
      <c r="A72" s="1">
        <v>24.7</v>
      </c>
      <c r="B72" s="1">
        <v>22.83</v>
      </c>
      <c r="C72" s="1">
        <v>28.47</v>
      </c>
      <c r="D72" s="1">
        <v>28.49</v>
      </c>
      <c r="E72" s="1">
        <v>28.01</v>
      </c>
      <c r="F72" s="1">
        <v>28.22</v>
      </c>
      <c r="G72" s="1">
        <v>29.76</v>
      </c>
      <c r="H72" s="1">
        <v>27.88</v>
      </c>
      <c r="I72" s="1"/>
      <c r="J72" s="1"/>
      <c r="K72" s="1"/>
      <c r="L72" s="1"/>
      <c r="M72" s="1"/>
      <c r="N72" s="1"/>
      <c r="O72" s="1"/>
      <c r="P72" t="s">
        <v>25</v>
      </c>
      <c r="Q72" t="s">
        <v>596</v>
      </c>
      <c r="R72" s="1" t="s">
        <v>526</v>
      </c>
      <c r="S72" s="1">
        <f>IFERROR(AVERAGE(Rural[[#This Row],[‫دیسمبر‬‏]]:Rural[[#This Row],[‫اكتوبر‬‏]]),"")</f>
        <v>28.24</v>
      </c>
      <c r="T72" s="1">
        <f>IFERROR(AVERAGE(Rural[[#This Row],[‫سبتمبر‬‏]]:Rural[[#This Row],[‫یولیو‬‏]]),"")</f>
        <v>28.82</v>
      </c>
      <c r="U72" s="1" t="str">
        <f>IFERROR(AVERAGE(Rural[[#This Row],[‫یونیو‬‏]]:Rural[[#This Row],[‫ابریل‬‏]]),"")</f>
        <v/>
      </c>
      <c r="V72" s="1" t="str">
        <f>IFERROR(AVERAGE(Rural[[#This Row],[‫مارس‬‏]]:Rural[[#This Row],[‫ینایر‬‏]]),"")</f>
        <v/>
      </c>
    </row>
    <row r="73" spans="1:22" x14ac:dyDescent="0.35">
      <c r="A73" s="1">
        <v>9.6</v>
      </c>
      <c r="B73" s="1">
        <v>38.229999999999997</v>
      </c>
      <c r="C73" s="1">
        <v>41.9</v>
      </c>
      <c r="D73" s="1">
        <v>42.18</v>
      </c>
      <c r="E73" s="1">
        <v>42.11</v>
      </c>
      <c r="F73" s="1">
        <v>41.59</v>
      </c>
      <c r="G73" s="1">
        <v>41.77</v>
      </c>
      <c r="H73" s="1">
        <v>41.93</v>
      </c>
      <c r="I73" s="1">
        <v>42.01</v>
      </c>
      <c r="J73" s="1">
        <v>41.35</v>
      </c>
      <c r="K73" s="1">
        <v>41.63</v>
      </c>
      <c r="L73" s="1">
        <v>42.81</v>
      </c>
      <c r="M73" s="1">
        <v>42.08</v>
      </c>
      <c r="N73" s="1">
        <v>41.85</v>
      </c>
      <c r="O73" s="1">
        <v>41.46</v>
      </c>
      <c r="P73" t="s">
        <v>25</v>
      </c>
      <c r="Q73" t="s">
        <v>597</v>
      </c>
      <c r="R73" s="1" t="s">
        <v>526</v>
      </c>
      <c r="S73" s="1">
        <f>IFERROR(AVERAGE(Rural[[#This Row],[‫دیسمبر‬‏]]:Rural[[#This Row],[‫اكتوبر‬‏]]),"")</f>
        <v>41.96</v>
      </c>
      <c r="T73" s="1">
        <f>IFERROR(AVERAGE(Rural[[#This Row],[‫سبتمبر‬‏]]:Rural[[#This Row],[‫یولیو‬‏]]),"")</f>
        <v>41.903333333333336</v>
      </c>
      <c r="U73" s="1">
        <f>IFERROR(AVERAGE(Rural[[#This Row],[‫یونیو‬‏]]:Rural[[#This Row],[‫ابریل‬‏]]),"")</f>
        <v>41.93</v>
      </c>
      <c r="V73" s="1">
        <f>IFERROR(AVERAGE(Rural[[#This Row],[‫مارس‬‏]]:Rural[[#This Row],[‫ینایر‬‏]]),"")</f>
        <v>41.796666666666674</v>
      </c>
    </row>
    <row r="74" spans="1:22" x14ac:dyDescent="0.35">
      <c r="A74" s="1">
        <v>35.200000000000003</v>
      </c>
      <c r="B74" s="1">
        <v>26.35</v>
      </c>
      <c r="C74" s="1">
        <v>35.61</v>
      </c>
      <c r="D74" s="1">
        <v>35.17</v>
      </c>
      <c r="E74" s="1">
        <v>33.9</v>
      </c>
      <c r="F74" s="1"/>
      <c r="G74" s="1"/>
      <c r="H74" s="1"/>
      <c r="I74" s="1"/>
      <c r="J74" s="1"/>
      <c r="K74" s="1"/>
      <c r="L74" s="1"/>
      <c r="M74" s="1"/>
      <c r="N74" s="1">
        <v>36.39</v>
      </c>
      <c r="O74" s="1">
        <v>36.99</v>
      </c>
      <c r="P74" t="s">
        <v>25</v>
      </c>
      <c r="Q74" t="s">
        <v>598</v>
      </c>
      <c r="R74" s="1" t="s">
        <v>526</v>
      </c>
      <c r="S74" s="1">
        <f>IFERROR(AVERAGE(Rural[[#This Row],[‫دیسمبر‬‏]]:Rural[[#This Row],[‫اكتوبر‬‏]]),"")</f>
        <v>34.534999999999997</v>
      </c>
      <c r="T74" s="1" t="str">
        <f>IFERROR(AVERAGE(Rural[[#This Row],[‫سبتمبر‬‏]]:Rural[[#This Row],[‫یولیو‬‏]]),"")</f>
        <v/>
      </c>
      <c r="U74" s="1" t="str">
        <f>IFERROR(AVERAGE(Rural[[#This Row],[‫یونیو‬‏]]:Rural[[#This Row],[‫ابریل‬‏]]),"")</f>
        <v/>
      </c>
      <c r="V74" s="1">
        <f>IFERROR(AVERAGE(Rural[[#This Row],[‫مارس‬‏]]:Rural[[#This Row],[‫ینایر‬‏]]),"")</f>
        <v>36.69</v>
      </c>
    </row>
    <row r="75" spans="1:22" x14ac:dyDescent="0.35">
      <c r="A75" s="1">
        <v>12.9</v>
      </c>
      <c r="B75" s="1">
        <v>41.44</v>
      </c>
      <c r="C75" s="1">
        <v>46.8</v>
      </c>
      <c r="D75" s="1">
        <v>47.54</v>
      </c>
      <c r="E75" s="1">
        <v>46.99</v>
      </c>
      <c r="F75" s="1">
        <v>47.97</v>
      </c>
      <c r="G75" s="1">
        <v>47.66</v>
      </c>
      <c r="H75" s="1">
        <v>44.94</v>
      </c>
      <c r="I75" s="1">
        <v>41.54</v>
      </c>
      <c r="J75" s="1">
        <v>50.94</v>
      </c>
      <c r="K75" s="1"/>
      <c r="L75" s="1"/>
      <c r="M75" s="1"/>
      <c r="N75" s="1"/>
      <c r="O75" s="1"/>
      <c r="P75" t="s">
        <v>25</v>
      </c>
      <c r="Q75" t="s">
        <v>599</v>
      </c>
      <c r="R75" s="1" t="s">
        <v>526</v>
      </c>
      <c r="S75" s="1">
        <f>IFERROR(AVERAGE(Rural[[#This Row],[‫دیسمبر‬‏]]:Rural[[#This Row],[‫اكتوبر‬‏]]),"")</f>
        <v>47.5</v>
      </c>
      <c r="T75" s="1">
        <f>IFERROR(AVERAGE(Rural[[#This Row],[‫سبتمبر‬‏]]:Rural[[#This Row],[‫یولیو‬‏]]),"")</f>
        <v>44.713333333333331</v>
      </c>
      <c r="U75" s="1">
        <f>IFERROR(AVERAGE(Rural[[#This Row],[‫یونیو‬‏]]:Rural[[#This Row],[‫ابریل‬‏]]),"")</f>
        <v>50.94</v>
      </c>
      <c r="V75" s="1" t="str">
        <f>IFERROR(AVERAGE(Rural[[#This Row],[‫مارس‬‏]]:Rural[[#This Row],[‫ینایر‬‏]]),"")</f>
        <v/>
      </c>
    </row>
    <row r="76" spans="1:22" x14ac:dyDescent="0.35">
      <c r="A76" s="1">
        <v>18</v>
      </c>
      <c r="B76" s="1">
        <v>69.27</v>
      </c>
      <c r="C76" s="1">
        <v>81.739999999999995</v>
      </c>
      <c r="D76" s="1">
        <v>81.62</v>
      </c>
      <c r="E76" s="1">
        <v>82.25</v>
      </c>
      <c r="F76" s="1">
        <v>82.81</v>
      </c>
      <c r="G76" s="1">
        <v>84.35</v>
      </c>
      <c r="H76" s="1">
        <v>81.47</v>
      </c>
      <c r="I76" s="1">
        <v>80.040000000000006</v>
      </c>
      <c r="J76" s="1">
        <v>82.6</v>
      </c>
      <c r="K76" s="1">
        <v>87.31</v>
      </c>
      <c r="L76" s="1">
        <v>82.55</v>
      </c>
      <c r="M76" s="1">
        <v>80.84</v>
      </c>
      <c r="N76" s="1">
        <v>77.44</v>
      </c>
      <c r="O76" s="1">
        <v>77.569999999999993</v>
      </c>
      <c r="P76" t="s">
        <v>25</v>
      </c>
      <c r="Q76" t="s">
        <v>600</v>
      </c>
      <c r="R76" s="1" t="s">
        <v>526</v>
      </c>
      <c r="S76" s="1">
        <f>IFERROR(AVERAGE(Rural[[#This Row],[‫دیسمبر‬‏]]:Rural[[#This Row],[‫اكتوبر‬‏]]),"")</f>
        <v>82.226666666666674</v>
      </c>
      <c r="T76" s="1">
        <f>IFERROR(AVERAGE(Rural[[#This Row],[‫سبتمبر‬‏]]:Rural[[#This Row],[‫یولیو‬‏]]),"")</f>
        <v>81.953333333333333</v>
      </c>
      <c r="U76" s="1">
        <f>IFERROR(AVERAGE(Rural[[#This Row],[‫یونیو‬‏]]:Rural[[#This Row],[‫ابریل‬‏]]),"")</f>
        <v>84.153333333333322</v>
      </c>
      <c r="V76" s="1">
        <f>IFERROR(AVERAGE(Rural[[#This Row],[‫مارس‬‏]]:Rural[[#This Row],[‫ینایر‬‏]]),"")</f>
        <v>78.61666666666666</v>
      </c>
    </row>
    <row r="77" spans="1:22" x14ac:dyDescent="0.35">
      <c r="A77" s="1">
        <v>20.100000000000001</v>
      </c>
      <c r="B77" s="1">
        <v>64.38</v>
      </c>
      <c r="C77" s="1">
        <v>77.31</v>
      </c>
      <c r="D77" s="1">
        <v>77.19</v>
      </c>
      <c r="E77" s="1">
        <v>77.59</v>
      </c>
      <c r="F77" s="1">
        <v>78.569999999999993</v>
      </c>
      <c r="G77" s="1">
        <v>79.7</v>
      </c>
      <c r="H77" s="1">
        <v>78.52</v>
      </c>
      <c r="I77" s="1">
        <v>77.89</v>
      </c>
      <c r="J77" s="1">
        <v>77.92</v>
      </c>
      <c r="K77" s="1">
        <v>81.93</v>
      </c>
      <c r="L77" s="1">
        <v>77.209999999999994</v>
      </c>
      <c r="M77" s="1">
        <v>76.13</v>
      </c>
      <c r="N77" s="1">
        <v>72.64</v>
      </c>
      <c r="O77" s="1">
        <v>72.400000000000006</v>
      </c>
      <c r="P77" t="s">
        <v>25</v>
      </c>
      <c r="Q77" t="s">
        <v>601</v>
      </c>
      <c r="R77" s="1" t="s">
        <v>526</v>
      </c>
      <c r="S77" s="1">
        <f>IFERROR(AVERAGE(Rural[[#This Row],[‫دیسمبر‬‏]]:Rural[[#This Row],[‫اكتوبر‬‏]]),"")</f>
        <v>77.783333333333331</v>
      </c>
      <c r="T77" s="1">
        <f>IFERROR(AVERAGE(Rural[[#This Row],[‫سبتمبر‬‏]]:Rural[[#This Row],[‫یولیو‬‏]]),"")</f>
        <v>78.703333333333333</v>
      </c>
      <c r="U77" s="1">
        <f>IFERROR(AVERAGE(Rural[[#This Row],[‫یونیو‬‏]]:Rural[[#This Row],[‫ابریل‬‏]]),"")</f>
        <v>79.02</v>
      </c>
      <c r="V77" s="1">
        <f>IFERROR(AVERAGE(Rural[[#This Row],[‫مارس‬‏]]:Rural[[#This Row],[‫ینایر‬‏]]),"")</f>
        <v>73.723333333333329</v>
      </c>
    </row>
    <row r="78" spans="1:22" x14ac:dyDescent="0.35">
      <c r="A78" s="1">
        <v>5.6</v>
      </c>
      <c r="B78" s="1">
        <v>351.2</v>
      </c>
      <c r="C78" s="1">
        <v>370.71</v>
      </c>
      <c r="D78" s="1">
        <v>383.07</v>
      </c>
      <c r="E78" s="1">
        <v>382.94</v>
      </c>
      <c r="F78" s="1">
        <v>383.35</v>
      </c>
      <c r="G78" s="1">
        <v>372.12</v>
      </c>
      <c r="H78" s="1">
        <v>372.11</v>
      </c>
      <c r="I78" s="1">
        <v>372.1</v>
      </c>
      <c r="J78" s="1">
        <v>369.84</v>
      </c>
      <c r="K78" s="1">
        <v>363.38</v>
      </c>
      <c r="L78" s="1">
        <v>360.63</v>
      </c>
      <c r="M78" s="1">
        <v>363.36</v>
      </c>
      <c r="N78" s="1">
        <v>362.82</v>
      </c>
      <c r="O78" s="1">
        <v>362.81</v>
      </c>
      <c r="P78" t="s">
        <v>25</v>
      </c>
      <c r="Q78" t="s">
        <v>602</v>
      </c>
      <c r="R78" s="1" t="s">
        <v>526</v>
      </c>
      <c r="S78" s="1">
        <f>IFERROR(AVERAGE(Rural[[#This Row],[‫دیسمبر‬‏]]:Rural[[#This Row],[‫اكتوبر‬‏]]),"")</f>
        <v>383.12000000000006</v>
      </c>
      <c r="T78" s="1">
        <f>IFERROR(AVERAGE(Rural[[#This Row],[‫سبتمبر‬‏]]:Rural[[#This Row],[‫یولیو‬‏]]),"")</f>
        <v>372.10999999999996</v>
      </c>
      <c r="U78" s="1">
        <f>IFERROR(AVERAGE(Rural[[#This Row],[‫یونیو‬‏]]:Rural[[#This Row],[‫ابریل‬‏]]),"")</f>
        <v>364.61666666666662</v>
      </c>
      <c r="V78" s="1">
        <f>IFERROR(AVERAGE(Rural[[#This Row],[‫مارس‬‏]]:Rural[[#This Row],[‫ینایر‬‏]]),"")</f>
        <v>362.99666666666667</v>
      </c>
    </row>
    <row r="79" spans="1:22" x14ac:dyDescent="0.35">
      <c r="A79" s="1">
        <v>3.8</v>
      </c>
      <c r="B79" s="1">
        <v>367.9</v>
      </c>
      <c r="C79" s="1">
        <v>381.74</v>
      </c>
      <c r="D79" s="1">
        <v>386.15</v>
      </c>
      <c r="E79" s="1">
        <v>386.15</v>
      </c>
      <c r="F79" s="1">
        <v>385.94</v>
      </c>
      <c r="G79" s="1">
        <v>385.31</v>
      </c>
      <c r="H79" s="1">
        <v>385.52</v>
      </c>
      <c r="I79" s="1">
        <v>385.94</v>
      </c>
      <c r="J79" s="1">
        <v>384.48</v>
      </c>
      <c r="K79" s="1">
        <v>376.98</v>
      </c>
      <c r="L79" s="1">
        <v>377.07</v>
      </c>
      <c r="M79" s="1">
        <v>376.77</v>
      </c>
      <c r="N79" s="1">
        <v>375.31</v>
      </c>
      <c r="O79" s="1">
        <v>375.31</v>
      </c>
      <c r="P79" t="s">
        <v>25</v>
      </c>
      <c r="Q79" t="s">
        <v>603</v>
      </c>
      <c r="R79" s="1" t="s">
        <v>526</v>
      </c>
      <c r="S79" s="1">
        <f>IFERROR(AVERAGE(Rural[[#This Row],[‫دیسمبر‬‏]]:Rural[[#This Row],[‫اكتوبر‬‏]]),"")</f>
        <v>386.08</v>
      </c>
      <c r="T79" s="1">
        <f>IFERROR(AVERAGE(Rural[[#This Row],[‫سبتمبر‬‏]]:Rural[[#This Row],[‫یولیو‬‏]]),"")</f>
        <v>385.59</v>
      </c>
      <c r="U79" s="1">
        <f>IFERROR(AVERAGE(Rural[[#This Row],[‫یونیو‬‏]]:Rural[[#This Row],[‫ابریل‬‏]]),"")</f>
        <v>379.51</v>
      </c>
      <c r="V79" s="1">
        <f>IFERROR(AVERAGE(Rural[[#This Row],[‫مارس‬‏]]:Rural[[#This Row],[‫ینایر‬‏]]),"")</f>
        <v>375.79666666666662</v>
      </c>
    </row>
    <row r="80" spans="1:22" x14ac:dyDescent="0.35">
      <c r="A80" s="1">
        <v>3.6</v>
      </c>
      <c r="B80" s="1">
        <v>308.82</v>
      </c>
      <c r="C80" s="1">
        <v>319.92</v>
      </c>
      <c r="D80" s="1">
        <v>325.77</v>
      </c>
      <c r="E80" s="1">
        <v>325.02</v>
      </c>
      <c r="F80" s="1">
        <v>323.66000000000003</v>
      </c>
      <c r="G80" s="1">
        <v>324.08999999999997</v>
      </c>
      <c r="H80" s="1">
        <v>323.58999999999997</v>
      </c>
      <c r="I80" s="1">
        <v>323.01</v>
      </c>
      <c r="J80" s="1">
        <v>322.49</v>
      </c>
      <c r="K80" s="1">
        <v>315.79000000000002</v>
      </c>
      <c r="L80" s="1">
        <v>314.08999999999997</v>
      </c>
      <c r="M80" s="1">
        <v>315.13</v>
      </c>
      <c r="N80" s="1">
        <v>314.08</v>
      </c>
      <c r="O80" s="1">
        <v>312.32</v>
      </c>
      <c r="P80" t="s">
        <v>25</v>
      </c>
      <c r="Q80" t="s">
        <v>604</v>
      </c>
      <c r="R80" s="1" t="s">
        <v>526</v>
      </c>
      <c r="S80" s="1">
        <f>IFERROR(AVERAGE(Rural[[#This Row],[‫دیسمبر‬‏]]:Rural[[#This Row],[‫اكتوبر‬‏]]),"")</f>
        <v>324.81666666666666</v>
      </c>
      <c r="T80" s="1">
        <f>IFERROR(AVERAGE(Rural[[#This Row],[‫سبتمبر‬‏]]:Rural[[#This Row],[‫یولیو‬‏]]),"")</f>
        <v>323.56333333333333</v>
      </c>
      <c r="U80" s="1">
        <f>IFERROR(AVERAGE(Rural[[#This Row],[‫یونیو‬‏]]:Rural[[#This Row],[‫ابریل‬‏]]),"")</f>
        <v>317.45666666666665</v>
      </c>
      <c r="V80" s="1">
        <f>IFERROR(AVERAGE(Rural[[#This Row],[‫مارس‬‏]]:Rural[[#This Row],[‫ینایر‬‏]]),"")</f>
        <v>313.84333333333331</v>
      </c>
    </row>
    <row r="81" spans="1:22" x14ac:dyDescent="0.35">
      <c r="A81" s="1">
        <v>5.7</v>
      </c>
      <c r="B81" s="1">
        <v>353.5</v>
      </c>
      <c r="C81" s="1">
        <v>373.79</v>
      </c>
      <c r="D81" s="1">
        <v>364.78</v>
      </c>
      <c r="E81" s="1">
        <v>365.19</v>
      </c>
      <c r="F81" s="1">
        <v>370.67</v>
      </c>
      <c r="G81" s="1">
        <v>371.39</v>
      </c>
      <c r="H81" s="1">
        <v>370.63</v>
      </c>
      <c r="I81" s="1">
        <v>378.39</v>
      </c>
      <c r="J81" s="1">
        <v>385.48</v>
      </c>
      <c r="K81" s="1">
        <v>373.98</v>
      </c>
      <c r="L81" s="1">
        <v>379.08</v>
      </c>
      <c r="M81" s="1">
        <v>381.69</v>
      </c>
      <c r="N81" s="1">
        <v>375.48</v>
      </c>
      <c r="O81" s="1">
        <v>368.76</v>
      </c>
      <c r="P81" t="s">
        <v>25</v>
      </c>
      <c r="Q81" t="s">
        <v>605</v>
      </c>
      <c r="R81" s="1" t="s">
        <v>526</v>
      </c>
      <c r="S81" s="1">
        <f>IFERROR(AVERAGE(Rural[[#This Row],[‫دیسمبر‬‏]]:Rural[[#This Row],[‫اكتوبر‬‏]]),"")</f>
        <v>366.88000000000005</v>
      </c>
      <c r="T81" s="1">
        <f>IFERROR(AVERAGE(Rural[[#This Row],[‫سبتمبر‬‏]]:Rural[[#This Row],[‫یولیو‬‏]]),"")</f>
        <v>373.46999999999997</v>
      </c>
      <c r="U81" s="1">
        <f>IFERROR(AVERAGE(Rural[[#This Row],[‫یونیو‬‏]]:Rural[[#This Row],[‫ابریل‬‏]]),"")</f>
        <v>379.51333333333332</v>
      </c>
      <c r="V81" s="1">
        <f>IFERROR(AVERAGE(Rural[[#This Row],[‫مارس‬‏]]:Rural[[#This Row],[‫ینایر‬‏]]),"")</f>
        <v>375.31</v>
      </c>
    </row>
    <row r="82" spans="1:22" x14ac:dyDescent="0.35">
      <c r="A82" s="1">
        <v>9</v>
      </c>
      <c r="B82" s="1">
        <v>262.92</v>
      </c>
      <c r="C82" s="1">
        <v>286.58999999999997</v>
      </c>
      <c r="D82" s="1">
        <v>303.55</v>
      </c>
      <c r="E82" s="1">
        <v>302.75</v>
      </c>
      <c r="F82" s="1">
        <v>303.66000000000003</v>
      </c>
      <c r="G82" s="1">
        <v>285.2</v>
      </c>
      <c r="H82" s="1">
        <v>284.93</v>
      </c>
      <c r="I82" s="1">
        <v>285.43</v>
      </c>
      <c r="J82" s="1">
        <v>285.98</v>
      </c>
      <c r="K82" s="1">
        <v>284.43</v>
      </c>
      <c r="L82" s="1">
        <v>287.14</v>
      </c>
      <c r="M82" s="1">
        <v>277.99</v>
      </c>
      <c r="N82" s="1">
        <v>271.91000000000003</v>
      </c>
      <c r="O82" s="1">
        <v>266.12</v>
      </c>
      <c r="P82" t="s">
        <v>25</v>
      </c>
      <c r="Q82" t="s">
        <v>606</v>
      </c>
      <c r="R82" s="1" t="s">
        <v>526</v>
      </c>
      <c r="S82" s="1">
        <f>IFERROR(AVERAGE(Rural[[#This Row],[‫دیسمبر‬‏]]:Rural[[#This Row],[‫اكتوبر‬‏]]),"")</f>
        <v>303.32</v>
      </c>
      <c r="T82" s="1">
        <f>IFERROR(AVERAGE(Rural[[#This Row],[‫سبتمبر‬‏]]:Rural[[#This Row],[‫یولیو‬‏]]),"")</f>
        <v>285.18666666666667</v>
      </c>
      <c r="U82" s="1">
        <f>IFERROR(AVERAGE(Rural[[#This Row],[‫یونیو‬‏]]:Rural[[#This Row],[‫ابریل‬‏]]),"")</f>
        <v>285.85000000000002</v>
      </c>
      <c r="V82" s="1">
        <f>IFERROR(AVERAGE(Rural[[#This Row],[‫مارس‬‏]]:Rural[[#This Row],[‫ینایر‬‏]]),"")</f>
        <v>272.00666666666672</v>
      </c>
    </row>
    <row r="83" spans="1:22" x14ac:dyDescent="0.35">
      <c r="A83" s="1">
        <v>3.6</v>
      </c>
      <c r="B83" s="1">
        <v>307.58999999999997</v>
      </c>
      <c r="C83" s="1">
        <v>318.72000000000003</v>
      </c>
      <c r="D83" s="1">
        <v>324.63</v>
      </c>
      <c r="E83" s="1">
        <v>324.52</v>
      </c>
      <c r="F83" s="1">
        <v>322.83999999999997</v>
      </c>
      <c r="G83" s="1">
        <v>322.10000000000002</v>
      </c>
      <c r="H83" s="1">
        <v>322.73</v>
      </c>
      <c r="I83" s="1">
        <v>321.93</v>
      </c>
      <c r="J83" s="1">
        <v>321.49</v>
      </c>
      <c r="K83" s="1">
        <v>315.32</v>
      </c>
      <c r="L83" s="1">
        <v>314.3</v>
      </c>
      <c r="M83" s="1">
        <v>313.31</v>
      </c>
      <c r="N83" s="1">
        <v>311.88</v>
      </c>
      <c r="O83" s="1">
        <v>309.58999999999997</v>
      </c>
      <c r="P83" t="s">
        <v>25</v>
      </c>
      <c r="Q83" t="s">
        <v>607</v>
      </c>
      <c r="R83" s="1" t="s">
        <v>526</v>
      </c>
      <c r="S83" s="1">
        <f>IFERROR(AVERAGE(Rural[[#This Row],[‫دیسمبر‬‏]]:Rural[[#This Row],[‫اكتوبر‬‏]]),"")</f>
        <v>323.99666666666667</v>
      </c>
      <c r="T83" s="1">
        <f>IFERROR(AVERAGE(Rural[[#This Row],[‫سبتمبر‬‏]]:Rural[[#This Row],[‫یولیو‬‏]]),"")</f>
        <v>322.25333333333333</v>
      </c>
      <c r="U83" s="1">
        <f>IFERROR(AVERAGE(Rural[[#This Row],[‫یونیو‬‏]]:Rural[[#This Row],[‫ابریل‬‏]]),"")</f>
        <v>317.03666666666663</v>
      </c>
      <c r="V83" s="1">
        <f>IFERROR(AVERAGE(Rural[[#This Row],[‫مارس‬‏]]:Rural[[#This Row],[‫ینایر‬‏]]),"")</f>
        <v>311.59333333333331</v>
      </c>
    </row>
    <row r="84" spans="1:22" x14ac:dyDescent="0.35">
      <c r="A84" s="1">
        <v>4.3</v>
      </c>
      <c r="B84" s="1">
        <v>367.76</v>
      </c>
      <c r="C84" s="1">
        <v>383.65</v>
      </c>
      <c r="D84" s="1">
        <v>387.94</v>
      </c>
      <c r="E84" s="1">
        <v>387.94</v>
      </c>
      <c r="F84" s="1">
        <v>388.99</v>
      </c>
      <c r="G84" s="1">
        <v>388.57</v>
      </c>
      <c r="H84" s="1">
        <v>388.99</v>
      </c>
      <c r="I84" s="1">
        <v>387.94</v>
      </c>
      <c r="J84" s="1">
        <v>386.11</v>
      </c>
      <c r="K84" s="1">
        <v>378.8</v>
      </c>
      <c r="L84" s="1">
        <v>378.35</v>
      </c>
      <c r="M84" s="1">
        <v>377.86</v>
      </c>
      <c r="N84" s="1">
        <v>376.41</v>
      </c>
      <c r="O84" s="1">
        <v>375.89</v>
      </c>
      <c r="P84" t="s">
        <v>25</v>
      </c>
      <c r="Q84" t="s">
        <v>608</v>
      </c>
      <c r="R84" s="1" t="s">
        <v>526</v>
      </c>
      <c r="S84" s="1">
        <f>IFERROR(AVERAGE(Rural[[#This Row],[‫دیسمبر‬‏]]:Rural[[#This Row],[‫اكتوبر‬‏]]),"")</f>
        <v>388.28999999999996</v>
      </c>
      <c r="T84" s="1">
        <f>IFERROR(AVERAGE(Rural[[#This Row],[‫سبتمبر‬‏]]:Rural[[#This Row],[‫یولیو‬‏]]),"")</f>
        <v>388.5</v>
      </c>
      <c r="U84" s="1">
        <f>IFERROR(AVERAGE(Rural[[#This Row],[‫یونیو‬‏]]:Rural[[#This Row],[‫ابریل‬‏]]),"")</f>
        <v>381.08666666666676</v>
      </c>
      <c r="V84" s="1">
        <f>IFERROR(AVERAGE(Rural[[#This Row],[‫مارس‬‏]]:Rural[[#This Row],[‫ینایر‬‏]]),"")</f>
        <v>376.71999999999997</v>
      </c>
    </row>
    <row r="85" spans="1:22" x14ac:dyDescent="0.35">
      <c r="A85" s="1">
        <v>6.7</v>
      </c>
      <c r="B85" s="1">
        <v>166.51</v>
      </c>
      <c r="C85" s="1">
        <v>177.61</v>
      </c>
      <c r="D85" s="1">
        <v>181.68</v>
      </c>
      <c r="E85" s="1">
        <v>181.68</v>
      </c>
      <c r="F85" s="1">
        <v>182.55</v>
      </c>
      <c r="G85" s="1">
        <v>181.05</v>
      </c>
      <c r="H85" s="1">
        <v>180.29</v>
      </c>
      <c r="I85" s="1">
        <v>179.39</v>
      </c>
      <c r="J85" s="1">
        <v>178.11</v>
      </c>
      <c r="K85" s="1">
        <v>174.99</v>
      </c>
      <c r="L85" s="1">
        <v>172.9</v>
      </c>
      <c r="M85" s="1">
        <v>174.48</v>
      </c>
      <c r="N85" s="1">
        <v>172.19</v>
      </c>
      <c r="O85" s="1">
        <v>171.97</v>
      </c>
      <c r="P85" t="s">
        <v>427</v>
      </c>
      <c r="Q85" t="s">
        <v>609</v>
      </c>
      <c r="R85" s="1" t="s">
        <v>526</v>
      </c>
      <c r="S85" s="1">
        <f>IFERROR(AVERAGE(Rural[[#This Row],[‫دیسمبر‬‏]]:Rural[[#This Row],[‫اكتوبر‬‏]]),"")</f>
        <v>181.97000000000003</v>
      </c>
      <c r="T85" s="1">
        <f>IFERROR(AVERAGE(Rural[[#This Row],[‫سبتمبر‬‏]]:Rural[[#This Row],[‫یولیو‬‏]]),"")</f>
        <v>180.24333333333334</v>
      </c>
      <c r="U85" s="1">
        <f>IFERROR(AVERAGE(Rural[[#This Row],[‫یونیو‬‏]]:Rural[[#This Row],[‫ابریل‬‏]]),"")</f>
        <v>175.33333333333334</v>
      </c>
      <c r="V85" s="1">
        <f>IFERROR(AVERAGE(Rural[[#This Row],[‫مارس‬‏]]:Rural[[#This Row],[‫ینایر‬‏]]),"")</f>
        <v>172.88</v>
      </c>
    </row>
    <row r="86" spans="1:22" x14ac:dyDescent="0.35">
      <c r="A86" s="1">
        <v>4.5999999999999996</v>
      </c>
      <c r="B86" s="1">
        <v>234.56</v>
      </c>
      <c r="C86" s="1">
        <v>245.24</v>
      </c>
      <c r="D86" s="1">
        <v>249.33</v>
      </c>
      <c r="E86" s="1">
        <v>249.33</v>
      </c>
      <c r="F86" s="1">
        <v>249.39</v>
      </c>
      <c r="G86" s="1">
        <v>248.97</v>
      </c>
      <c r="H86" s="1">
        <v>246.79</v>
      </c>
      <c r="I86" s="1">
        <v>246.78</v>
      </c>
      <c r="J86" s="1">
        <v>245.61</v>
      </c>
      <c r="K86" s="1">
        <v>241.74</v>
      </c>
      <c r="L86" s="1">
        <v>237.53</v>
      </c>
      <c r="M86" s="1">
        <v>241.2</v>
      </c>
      <c r="N86" s="1">
        <v>243.56</v>
      </c>
      <c r="O86" s="1">
        <v>242.68</v>
      </c>
      <c r="P86" t="s">
        <v>25</v>
      </c>
      <c r="Q86" t="s">
        <v>610</v>
      </c>
      <c r="R86" s="1" t="s">
        <v>526</v>
      </c>
      <c r="S86" s="1">
        <f>IFERROR(AVERAGE(Rural[[#This Row],[‫دیسمبر‬‏]]:Rural[[#This Row],[‫اكتوبر‬‏]]),"")</f>
        <v>249.35</v>
      </c>
      <c r="T86" s="1">
        <f>IFERROR(AVERAGE(Rural[[#This Row],[‫سبتمبر‬‏]]:Rural[[#This Row],[‫یولیو‬‏]]),"")</f>
        <v>247.51333333333332</v>
      </c>
      <c r="U86" s="1">
        <f>IFERROR(AVERAGE(Rural[[#This Row],[‫یونیو‬‏]]:Rural[[#This Row],[‫ابریل‬‏]]),"")</f>
        <v>241.62666666666667</v>
      </c>
      <c r="V86" s="1">
        <f>IFERROR(AVERAGE(Rural[[#This Row],[‫مارس‬‏]]:Rural[[#This Row],[‫ینایر‬‏]]),"")</f>
        <v>242.48000000000002</v>
      </c>
    </row>
    <row r="87" spans="1:22" x14ac:dyDescent="0.35">
      <c r="A87" s="1">
        <v>4.2</v>
      </c>
      <c r="B87" s="1">
        <v>243.14</v>
      </c>
      <c r="C87" s="1">
        <v>253.43</v>
      </c>
      <c r="D87" s="1">
        <v>257.56</v>
      </c>
      <c r="E87" s="1">
        <v>257.08999999999997</v>
      </c>
      <c r="F87" s="1">
        <v>257.02</v>
      </c>
      <c r="G87" s="1">
        <v>256.19</v>
      </c>
      <c r="H87" s="1">
        <v>255.45</v>
      </c>
      <c r="I87" s="1">
        <v>256.08</v>
      </c>
      <c r="J87" s="1">
        <v>255.42</v>
      </c>
      <c r="K87" s="1">
        <v>251.12</v>
      </c>
      <c r="L87" s="1">
        <v>248.85</v>
      </c>
      <c r="M87" s="1">
        <v>249.57</v>
      </c>
      <c r="N87" s="1">
        <v>248.52</v>
      </c>
      <c r="O87" s="1">
        <v>248.29</v>
      </c>
      <c r="P87" t="s">
        <v>25</v>
      </c>
      <c r="Q87" t="s">
        <v>611</v>
      </c>
      <c r="R87" s="1" t="s">
        <v>526</v>
      </c>
      <c r="S87" s="1">
        <f>IFERROR(AVERAGE(Rural[[#This Row],[‫دیسمبر‬‏]]:Rural[[#This Row],[‫اكتوبر‬‏]]),"")</f>
        <v>257.2233333333333</v>
      </c>
      <c r="T87" s="1">
        <f>IFERROR(AVERAGE(Rural[[#This Row],[‫سبتمبر‬‏]]:Rural[[#This Row],[‫یولیو‬‏]]),"")</f>
        <v>255.90666666666667</v>
      </c>
      <c r="U87" s="1">
        <f>IFERROR(AVERAGE(Rural[[#This Row],[‫یونیو‬‏]]:Rural[[#This Row],[‫ابریل‬‏]]),"")</f>
        <v>251.79666666666665</v>
      </c>
      <c r="V87" s="1">
        <f>IFERROR(AVERAGE(Rural[[#This Row],[‫مارس‬‏]]:Rural[[#This Row],[‫ینایر‬‏]]),"")</f>
        <v>248.79333333333332</v>
      </c>
    </row>
    <row r="88" spans="1:22" x14ac:dyDescent="0.35">
      <c r="A88" s="1">
        <v>14.2</v>
      </c>
      <c r="B88" s="1">
        <v>351.9</v>
      </c>
      <c r="C88" s="1">
        <v>401.84</v>
      </c>
      <c r="D88" s="1">
        <v>406.96</v>
      </c>
      <c r="E88" s="1">
        <v>406.77</v>
      </c>
      <c r="F88" s="1">
        <v>407.33</v>
      </c>
      <c r="G88" s="1">
        <v>402.23</v>
      </c>
      <c r="H88" s="1">
        <v>400.91</v>
      </c>
      <c r="I88" s="1">
        <v>402.8</v>
      </c>
      <c r="J88" s="1">
        <v>403.42</v>
      </c>
      <c r="K88" s="1">
        <v>401.03</v>
      </c>
      <c r="L88" s="1">
        <v>391.56</v>
      </c>
      <c r="M88" s="1">
        <v>399.39</v>
      </c>
      <c r="N88" s="1">
        <v>402.67</v>
      </c>
      <c r="O88" s="1">
        <v>397</v>
      </c>
      <c r="P88" t="s">
        <v>25</v>
      </c>
      <c r="Q88" t="s">
        <v>612</v>
      </c>
      <c r="R88" s="1" t="s">
        <v>526</v>
      </c>
      <c r="S88" s="1">
        <f>IFERROR(AVERAGE(Rural[[#This Row],[‫دیسمبر‬‏]]:Rural[[#This Row],[‫اكتوبر‬‏]]),"")</f>
        <v>407.02</v>
      </c>
      <c r="T88" s="1">
        <f>IFERROR(AVERAGE(Rural[[#This Row],[‫سبتمبر‬‏]]:Rural[[#This Row],[‫یولیو‬‏]]),"")</f>
        <v>401.98</v>
      </c>
      <c r="U88" s="1">
        <f>IFERROR(AVERAGE(Rural[[#This Row],[‫یونیو‬‏]]:Rural[[#This Row],[‫ابریل‬‏]]),"")</f>
        <v>398.67</v>
      </c>
      <c r="V88" s="1">
        <f>IFERROR(AVERAGE(Rural[[#This Row],[‫مارس‬‏]]:Rural[[#This Row],[‫ینایر‬‏]]),"")</f>
        <v>399.68666666666667</v>
      </c>
    </row>
    <row r="89" spans="1:22" x14ac:dyDescent="0.35">
      <c r="A89" s="1">
        <v>9.9</v>
      </c>
      <c r="B89" s="1">
        <v>71.180000000000007</v>
      </c>
      <c r="C89" s="1">
        <v>78.260000000000005</v>
      </c>
      <c r="D89" s="1">
        <v>81.98</v>
      </c>
      <c r="E89" s="1">
        <v>82.31</v>
      </c>
      <c r="F89" s="1">
        <v>82.55</v>
      </c>
      <c r="G89" s="1">
        <v>79.44</v>
      </c>
      <c r="H89" s="1">
        <v>78.900000000000006</v>
      </c>
      <c r="I89" s="1">
        <v>75.42</v>
      </c>
      <c r="J89" s="1">
        <v>76.290000000000006</v>
      </c>
      <c r="K89" s="1">
        <v>75.88</v>
      </c>
      <c r="L89" s="1">
        <v>79.06</v>
      </c>
      <c r="M89" s="1">
        <v>76.31</v>
      </c>
      <c r="N89" s="1">
        <v>75.86</v>
      </c>
      <c r="O89" s="1">
        <v>75.09</v>
      </c>
      <c r="P89" t="s">
        <v>322</v>
      </c>
      <c r="Q89" t="s">
        <v>613</v>
      </c>
      <c r="R89" s="1" t="s">
        <v>526</v>
      </c>
      <c r="S89" s="1">
        <f>IFERROR(AVERAGE(Rural[[#This Row],[‫دیسمبر‬‏]]:Rural[[#This Row],[‫اكتوبر‬‏]]),"")</f>
        <v>82.280000000000015</v>
      </c>
      <c r="T89" s="1">
        <f>IFERROR(AVERAGE(Rural[[#This Row],[‫سبتمبر‬‏]]:Rural[[#This Row],[‫یولیو‬‏]]),"")</f>
        <v>77.92</v>
      </c>
      <c r="U89" s="1">
        <f>IFERROR(AVERAGE(Rural[[#This Row],[‫یونیو‬‏]]:Rural[[#This Row],[‫ابریل‬‏]]),"")</f>
        <v>77.076666666666668</v>
      </c>
      <c r="V89" s="1">
        <f>IFERROR(AVERAGE(Rural[[#This Row],[‫مارس‬‏]]:Rural[[#This Row],[‫ینایر‬‏]]),"")</f>
        <v>75.753333333333345</v>
      </c>
    </row>
    <row r="90" spans="1:22" x14ac:dyDescent="0.35">
      <c r="A90" s="1">
        <v>8.6999999999999993</v>
      </c>
      <c r="B90" s="1">
        <v>249.95</v>
      </c>
      <c r="C90" s="1">
        <v>271.68</v>
      </c>
      <c r="D90" s="1">
        <v>269.74</v>
      </c>
      <c r="E90" s="1">
        <v>270.64</v>
      </c>
      <c r="F90" s="1">
        <v>274.58999999999997</v>
      </c>
      <c r="G90" s="1">
        <v>268.85000000000002</v>
      </c>
      <c r="H90" s="1">
        <v>266.63</v>
      </c>
      <c r="I90" s="1">
        <v>267.49</v>
      </c>
      <c r="J90" s="1">
        <v>271.47000000000003</v>
      </c>
      <c r="K90" s="1">
        <v>276.02999999999997</v>
      </c>
      <c r="L90" s="1">
        <v>272.22000000000003</v>
      </c>
      <c r="M90" s="1">
        <v>276.74</v>
      </c>
      <c r="N90" s="1">
        <v>274.93</v>
      </c>
      <c r="O90" s="1">
        <v>270.82</v>
      </c>
      <c r="P90" t="s">
        <v>25</v>
      </c>
      <c r="Q90" t="s">
        <v>614</v>
      </c>
      <c r="R90" s="1" t="s">
        <v>526</v>
      </c>
      <c r="S90" s="1">
        <f>IFERROR(AVERAGE(Rural[[#This Row],[‫دیسمبر‬‏]]:Rural[[#This Row],[‫اكتوبر‬‏]]),"")</f>
        <v>271.65666666666669</v>
      </c>
      <c r="T90" s="1">
        <f>IFERROR(AVERAGE(Rural[[#This Row],[‫سبتمبر‬‏]]:Rural[[#This Row],[‫یولیو‬‏]]),"")</f>
        <v>267.65666666666669</v>
      </c>
      <c r="U90" s="1">
        <f>IFERROR(AVERAGE(Rural[[#This Row],[‫یونیو‬‏]]:Rural[[#This Row],[‫ابریل‬‏]]),"")</f>
        <v>273.24</v>
      </c>
      <c r="V90" s="1">
        <f>IFERROR(AVERAGE(Rural[[#This Row],[‫مارس‬‏]]:Rural[[#This Row],[‫ینایر‬‏]]),"")</f>
        <v>274.16333333333336</v>
      </c>
    </row>
    <row r="91" spans="1:22" x14ac:dyDescent="0.35">
      <c r="A91" s="1">
        <v>20.399999999999999</v>
      </c>
      <c r="B91" s="1">
        <v>79.87</v>
      </c>
      <c r="C91" s="1">
        <v>96.19</v>
      </c>
      <c r="D91" s="1">
        <v>107.64</v>
      </c>
      <c r="E91" s="1">
        <v>107.86</v>
      </c>
      <c r="F91" s="1">
        <v>107.82</v>
      </c>
      <c r="G91" s="1">
        <v>106.68</v>
      </c>
      <c r="H91" s="1">
        <v>106.53</v>
      </c>
      <c r="I91" s="1">
        <v>87.46</v>
      </c>
      <c r="J91" s="1">
        <v>88.42</v>
      </c>
      <c r="K91" s="1">
        <v>88.49</v>
      </c>
      <c r="L91" s="1">
        <v>88.87</v>
      </c>
      <c r="M91" s="1">
        <v>89.15</v>
      </c>
      <c r="N91" s="1">
        <v>87.92</v>
      </c>
      <c r="O91" s="1">
        <v>87.4</v>
      </c>
      <c r="P91" t="s">
        <v>267</v>
      </c>
      <c r="Q91" t="s">
        <v>615</v>
      </c>
      <c r="R91" s="1" t="s">
        <v>526</v>
      </c>
      <c r="S91" s="1">
        <f>IFERROR(AVERAGE(Rural[[#This Row],[‫دیسمبر‬‏]]:Rural[[#This Row],[‫اكتوبر‬‏]]),"")</f>
        <v>107.77333333333333</v>
      </c>
      <c r="T91" s="1">
        <f>IFERROR(AVERAGE(Rural[[#This Row],[‫سبتمبر‬‏]]:Rural[[#This Row],[‫یولیو‬‏]]),"")</f>
        <v>100.22333333333334</v>
      </c>
      <c r="U91" s="1">
        <f>IFERROR(AVERAGE(Rural[[#This Row],[‫یونیو‬‏]]:Rural[[#This Row],[‫ابریل‬‏]]),"")</f>
        <v>88.59333333333332</v>
      </c>
      <c r="V91" s="1">
        <f>IFERROR(AVERAGE(Rural[[#This Row],[‫مارس‬‏]]:Rural[[#This Row],[‫ینایر‬‏]]),"")</f>
        <v>88.15666666666668</v>
      </c>
    </row>
    <row r="92" spans="1:22" x14ac:dyDescent="0.35">
      <c r="A92" s="1">
        <v>13</v>
      </c>
      <c r="B92" s="1">
        <v>96.52</v>
      </c>
      <c r="C92" s="1">
        <v>109.07</v>
      </c>
      <c r="D92" s="1">
        <v>115.31</v>
      </c>
      <c r="E92" s="1">
        <v>115.64</v>
      </c>
      <c r="F92" s="1">
        <v>115.9</v>
      </c>
      <c r="G92" s="1">
        <v>113.81</v>
      </c>
      <c r="H92" s="1">
        <v>113.46</v>
      </c>
      <c r="I92" s="1">
        <v>103.1</v>
      </c>
      <c r="J92" s="1">
        <v>104.56</v>
      </c>
      <c r="K92" s="1">
        <v>105.69</v>
      </c>
      <c r="L92" s="1">
        <v>105.83</v>
      </c>
      <c r="M92" s="1">
        <v>106.74</v>
      </c>
      <c r="N92" s="1">
        <v>104.77</v>
      </c>
      <c r="O92" s="1">
        <v>104.06</v>
      </c>
      <c r="P92" t="s">
        <v>267</v>
      </c>
      <c r="Q92" t="s">
        <v>616</v>
      </c>
      <c r="R92" s="1" t="s">
        <v>526</v>
      </c>
      <c r="S92" s="1">
        <f>IFERROR(AVERAGE(Rural[[#This Row],[‫دیسمبر‬‏]]:Rural[[#This Row],[‫اكتوبر‬‏]]),"")</f>
        <v>115.61666666666667</v>
      </c>
      <c r="T92" s="1">
        <f>IFERROR(AVERAGE(Rural[[#This Row],[‫سبتمبر‬‏]]:Rural[[#This Row],[‫یولیو‬‏]]),"")</f>
        <v>110.12333333333333</v>
      </c>
      <c r="U92" s="1">
        <f>IFERROR(AVERAGE(Rural[[#This Row],[‫یونیو‬‏]]:Rural[[#This Row],[‫ابریل‬‏]]),"")</f>
        <v>105.36</v>
      </c>
      <c r="V92" s="1">
        <f>IFERROR(AVERAGE(Rural[[#This Row],[‫مارس‬‏]]:Rural[[#This Row],[‫ینایر‬‏]]),"")</f>
        <v>105.19</v>
      </c>
    </row>
    <row r="93" spans="1:22" x14ac:dyDescent="0.35">
      <c r="A93" s="1">
        <v>9.4</v>
      </c>
      <c r="B93" s="1">
        <v>128.36000000000001</v>
      </c>
      <c r="C93" s="1">
        <v>140.44</v>
      </c>
      <c r="D93" s="1">
        <v>145.31</v>
      </c>
      <c r="E93" s="1">
        <v>145.07</v>
      </c>
      <c r="F93" s="1">
        <v>144.03</v>
      </c>
      <c r="G93" s="1">
        <v>144.46</v>
      </c>
      <c r="H93" s="1">
        <v>143.96</v>
      </c>
      <c r="I93" s="1">
        <v>143.32</v>
      </c>
      <c r="J93" s="1">
        <v>141.09</v>
      </c>
      <c r="K93" s="1">
        <v>138.69999999999999</v>
      </c>
      <c r="L93" s="1">
        <v>133.78</v>
      </c>
      <c r="M93" s="1">
        <v>136.68</v>
      </c>
      <c r="N93" s="1">
        <v>134.77000000000001</v>
      </c>
      <c r="O93" s="1">
        <v>134.13999999999999</v>
      </c>
      <c r="P93" t="s">
        <v>25</v>
      </c>
      <c r="Q93" t="s">
        <v>617</v>
      </c>
      <c r="R93" s="1" t="s">
        <v>526</v>
      </c>
      <c r="S93" s="1">
        <f>IFERROR(AVERAGE(Rural[[#This Row],[‫دیسمبر‬‏]]:Rural[[#This Row],[‫اكتوبر‬‏]]),"")</f>
        <v>144.80333333333331</v>
      </c>
      <c r="T93" s="1">
        <f>IFERROR(AVERAGE(Rural[[#This Row],[‫سبتمبر‬‏]]:Rural[[#This Row],[‫یولیو‬‏]]),"")</f>
        <v>143.91333333333333</v>
      </c>
      <c r="U93" s="1">
        <f>IFERROR(AVERAGE(Rural[[#This Row],[‫یونیو‬‏]]:Rural[[#This Row],[‫ابریل‬‏]]),"")</f>
        <v>137.85666666666665</v>
      </c>
      <c r="V93" s="1">
        <f>IFERROR(AVERAGE(Rural[[#This Row],[‫مارس‬‏]]:Rural[[#This Row],[‫ینایر‬‏]]),"")</f>
        <v>135.19666666666669</v>
      </c>
    </row>
    <row r="94" spans="1:22" x14ac:dyDescent="0.35">
      <c r="A94" s="1">
        <v>13.9</v>
      </c>
      <c r="B94" s="1">
        <v>254.57</v>
      </c>
      <c r="C94" s="1">
        <v>289.98</v>
      </c>
      <c r="D94" s="1">
        <v>297.44</v>
      </c>
      <c r="E94" s="1">
        <v>295.77999999999997</v>
      </c>
      <c r="F94" s="1">
        <v>297.39</v>
      </c>
      <c r="G94" s="1">
        <v>295.92</v>
      </c>
      <c r="H94" s="1">
        <v>295.08999999999997</v>
      </c>
      <c r="I94" s="1">
        <v>293.8</v>
      </c>
      <c r="J94" s="1">
        <v>292.39</v>
      </c>
      <c r="K94" s="1">
        <v>284.72000000000003</v>
      </c>
      <c r="L94" s="1">
        <v>287.64999999999998</v>
      </c>
      <c r="M94" s="1">
        <v>280.8</v>
      </c>
      <c r="N94" s="1">
        <v>280.33999999999997</v>
      </c>
      <c r="O94" s="1">
        <v>278.41000000000003</v>
      </c>
      <c r="P94" t="s">
        <v>326</v>
      </c>
      <c r="Q94" t="s">
        <v>618</v>
      </c>
      <c r="R94" s="1" t="s">
        <v>526</v>
      </c>
      <c r="S94" s="1">
        <f>IFERROR(AVERAGE(Rural[[#This Row],[‫دیسمبر‬‏]]:Rural[[#This Row],[‫اكتوبر‬‏]]),"")</f>
        <v>296.87</v>
      </c>
      <c r="T94" s="1">
        <f>IFERROR(AVERAGE(Rural[[#This Row],[‫سبتمبر‬‏]]:Rural[[#This Row],[‫یولیو‬‏]]),"")</f>
        <v>294.93666666666667</v>
      </c>
      <c r="U94" s="1">
        <f>IFERROR(AVERAGE(Rural[[#This Row],[‫یونیو‬‏]]:Rural[[#This Row],[‫ابریل‬‏]]),"")</f>
        <v>288.25333333333333</v>
      </c>
      <c r="V94" s="1">
        <f>IFERROR(AVERAGE(Rural[[#This Row],[‫مارس‬‏]]:Rural[[#This Row],[‫ینایر‬‏]]),"")</f>
        <v>279.84999999999997</v>
      </c>
    </row>
    <row r="95" spans="1:22" x14ac:dyDescent="0.35">
      <c r="A95" s="1">
        <v>6.7</v>
      </c>
      <c r="B95" s="1">
        <v>134.13</v>
      </c>
      <c r="C95" s="1">
        <v>143.16999999999999</v>
      </c>
      <c r="D95" s="1">
        <v>140.57</v>
      </c>
      <c r="E95" s="1">
        <v>142.51</v>
      </c>
      <c r="F95" s="1">
        <v>144.33000000000001</v>
      </c>
      <c r="G95" s="1">
        <v>143.26</v>
      </c>
      <c r="H95" s="1">
        <v>142.41</v>
      </c>
      <c r="I95" s="1">
        <v>141.18</v>
      </c>
      <c r="J95" s="1">
        <v>147.5</v>
      </c>
      <c r="K95" s="1">
        <v>147.86000000000001</v>
      </c>
      <c r="L95" s="1">
        <v>149.5</v>
      </c>
      <c r="M95" s="1">
        <v>141.87</v>
      </c>
      <c r="N95" s="1">
        <v>141.1</v>
      </c>
      <c r="O95" s="1">
        <v>135.9</v>
      </c>
      <c r="P95" t="s">
        <v>25</v>
      </c>
      <c r="Q95" t="s">
        <v>619</v>
      </c>
      <c r="R95" s="1" t="s">
        <v>526</v>
      </c>
      <c r="S95" s="1">
        <f>IFERROR(AVERAGE(Rural[[#This Row],[‫دیسمبر‬‏]]:Rural[[#This Row],[‫اكتوبر‬‏]]),"")</f>
        <v>142.47</v>
      </c>
      <c r="T95" s="1">
        <f>IFERROR(AVERAGE(Rural[[#This Row],[‫سبتمبر‬‏]]:Rural[[#This Row],[‫یولیو‬‏]]),"")</f>
        <v>142.28333333333333</v>
      </c>
      <c r="U95" s="1">
        <f>IFERROR(AVERAGE(Rural[[#This Row],[‫یونیو‬‏]]:Rural[[#This Row],[‫ابریل‬‏]]),"")</f>
        <v>148.28666666666666</v>
      </c>
      <c r="V95" s="1">
        <f>IFERROR(AVERAGE(Rural[[#This Row],[‫مارس‬‏]]:Rural[[#This Row],[‫ینایر‬‏]]),"")</f>
        <v>139.62333333333333</v>
      </c>
    </row>
    <row r="96" spans="1:22" x14ac:dyDescent="0.35">
      <c r="A96" s="1">
        <v>-0.5</v>
      </c>
      <c r="B96" s="1">
        <v>121.4</v>
      </c>
      <c r="C96" s="1">
        <v>120.75</v>
      </c>
      <c r="D96" s="1">
        <v>116.62</v>
      </c>
      <c r="E96" s="1">
        <v>118.93</v>
      </c>
      <c r="F96" s="1">
        <v>118.41</v>
      </c>
      <c r="G96" s="1">
        <v>118.15</v>
      </c>
      <c r="H96" s="1">
        <v>117.69</v>
      </c>
      <c r="I96" s="1">
        <v>118.04</v>
      </c>
      <c r="J96" s="1">
        <v>121.79</v>
      </c>
      <c r="K96" s="1">
        <v>121.32</v>
      </c>
      <c r="L96" s="1">
        <v>124.99</v>
      </c>
      <c r="M96" s="1">
        <v>126.5</v>
      </c>
      <c r="N96" s="1">
        <v>124.06</v>
      </c>
      <c r="O96" s="1">
        <v>122.47</v>
      </c>
      <c r="P96" t="s">
        <v>25</v>
      </c>
      <c r="Q96" t="s">
        <v>620</v>
      </c>
      <c r="R96" s="1" t="s">
        <v>526</v>
      </c>
      <c r="S96" s="1">
        <f>IFERROR(AVERAGE(Rural[[#This Row],[‫دیسمبر‬‏]]:Rural[[#This Row],[‫اكتوبر‬‏]]),"")</f>
        <v>117.98666666666668</v>
      </c>
      <c r="T96" s="1">
        <f>IFERROR(AVERAGE(Rural[[#This Row],[‫سبتمبر‬‏]]:Rural[[#This Row],[‫یولیو‬‏]]),"")</f>
        <v>117.96</v>
      </c>
      <c r="U96" s="1">
        <f>IFERROR(AVERAGE(Rural[[#This Row],[‫یونیو‬‏]]:Rural[[#This Row],[‫ابریل‬‏]]),"")</f>
        <v>122.7</v>
      </c>
      <c r="V96" s="1">
        <f>IFERROR(AVERAGE(Rural[[#This Row],[‫مارس‬‏]]:Rural[[#This Row],[‫ینایر‬‏]]),"")</f>
        <v>124.34333333333332</v>
      </c>
    </row>
    <row r="97" spans="1:22" x14ac:dyDescent="0.35">
      <c r="A97" s="1">
        <v>-2.6</v>
      </c>
      <c r="B97" s="1">
        <v>87.71</v>
      </c>
      <c r="C97" s="1">
        <v>85.4</v>
      </c>
      <c r="D97" s="1">
        <v>70.62</v>
      </c>
      <c r="E97" s="1">
        <v>73.77</v>
      </c>
      <c r="F97" s="1">
        <v>74.25</v>
      </c>
      <c r="G97" s="1">
        <v>75.78</v>
      </c>
      <c r="H97" s="1">
        <v>76.08</v>
      </c>
      <c r="I97" s="1">
        <v>80.13</v>
      </c>
      <c r="J97" s="1">
        <v>92.48</v>
      </c>
      <c r="K97" s="1">
        <v>93.56</v>
      </c>
      <c r="L97" s="1">
        <v>101.19</v>
      </c>
      <c r="M97" s="1">
        <v>101.45</v>
      </c>
      <c r="N97" s="1">
        <v>96.68</v>
      </c>
      <c r="O97" s="1">
        <v>88.84</v>
      </c>
      <c r="P97" t="s">
        <v>25</v>
      </c>
      <c r="Q97" t="s">
        <v>621</v>
      </c>
      <c r="R97" s="1" t="s">
        <v>526</v>
      </c>
      <c r="S97" s="1">
        <f>IFERROR(AVERAGE(Rural[[#This Row],[‫دیسمبر‬‏]]:Rural[[#This Row],[‫اكتوبر‬‏]]),"")</f>
        <v>72.88</v>
      </c>
      <c r="T97" s="1">
        <f>IFERROR(AVERAGE(Rural[[#This Row],[‫سبتمبر‬‏]]:Rural[[#This Row],[‫یولیو‬‏]]),"")</f>
        <v>77.33</v>
      </c>
      <c r="U97" s="1">
        <f>IFERROR(AVERAGE(Rural[[#This Row],[‫یونیو‬‏]]:Rural[[#This Row],[‫ابریل‬‏]]),"")</f>
        <v>95.743333333333339</v>
      </c>
      <c r="V97" s="1">
        <f>IFERROR(AVERAGE(Rural[[#This Row],[‫مارس‬‏]]:Rural[[#This Row],[‫ینایر‬‏]]),"")</f>
        <v>95.65666666666668</v>
      </c>
    </row>
    <row r="98" spans="1:22" x14ac:dyDescent="0.35">
      <c r="A98" s="1">
        <v>1.9</v>
      </c>
      <c r="B98" s="1">
        <v>129.91999999999999</v>
      </c>
      <c r="C98" s="1">
        <v>132.34</v>
      </c>
      <c r="D98" s="1">
        <v>127.85</v>
      </c>
      <c r="E98" s="1">
        <v>129.36000000000001</v>
      </c>
      <c r="F98" s="1">
        <v>130.5</v>
      </c>
      <c r="G98" s="1">
        <v>130.94999999999999</v>
      </c>
      <c r="H98" s="1">
        <v>129.93</v>
      </c>
      <c r="I98" s="1">
        <v>129.30000000000001</v>
      </c>
      <c r="J98" s="1">
        <v>134.44</v>
      </c>
      <c r="K98" s="1">
        <v>134.37</v>
      </c>
      <c r="L98" s="1">
        <v>136.09</v>
      </c>
      <c r="M98" s="1">
        <v>138.77000000000001</v>
      </c>
      <c r="N98" s="1">
        <v>134.37</v>
      </c>
      <c r="O98" s="1">
        <v>132.16999999999999</v>
      </c>
      <c r="P98" t="s">
        <v>25</v>
      </c>
      <c r="Q98" t="s">
        <v>622</v>
      </c>
      <c r="R98" s="1" t="s">
        <v>526</v>
      </c>
      <c r="S98" s="1">
        <f>IFERROR(AVERAGE(Rural[[#This Row],[‫دیسمبر‬‏]]:Rural[[#This Row],[‫اكتوبر‬‏]]),"")</f>
        <v>129.23666666666668</v>
      </c>
      <c r="T98" s="1">
        <f>IFERROR(AVERAGE(Rural[[#This Row],[‫سبتمبر‬‏]]:Rural[[#This Row],[‫یولیو‬‏]]),"")</f>
        <v>130.06</v>
      </c>
      <c r="U98" s="1">
        <f>IFERROR(AVERAGE(Rural[[#This Row],[‫یونیو‬‏]]:Rural[[#This Row],[‫ابریل‬‏]]),"")</f>
        <v>134.96666666666667</v>
      </c>
      <c r="V98" s="1">
        <f>IFERROR(AVERAGE(Rural[[#This Row],[‫مارس‬‏]]:Rural[[#This Row],[‫ینایر‬‏]]),"")</f>
        <v>135.10333333333332</v>
      </c>
    </row>
    <row r="99" spans="1:22" x14ac:dyDescent="0.35">
      <c r="A99" s="1">
        <v>1.5</v>
      </c>
      <c r="B99" s="1">
        <v>119.68</v>
      </c>
      <c r="C99" s="1">
        <v>121.46</v>
      </c>
      <c r="D99" s="1">
        <v>116.2</v>
      </c>
      <c r="E99" s="1">
        <v>117.23</v>
      </c>
      <c r="F99" s="1">
        <v>119.14</v>
      </c>
      <c r="G99" s="1">
        <v>119.07</v>
      </c>
      <c r="H99" s="1">
        <v>119.32</v>
      </c>
      <c r="I99" s="1">
        <v>118.66</v>
      </c>
      <c r="J99" s="1">
        <v>123.81</v>
      </c>
      <c r="K99" s="1">
        <v>123.87</v>
      </c>
      <c r="L99" s="1">
        <v>126.59</v>
      </c>
      <c r="M99" s="1">
        <v>127.41</v>
      </c>
      <c r="N99" s="1">
        <v>124.06</v>
      </c>
      <c r="O99" s="1">
        <v>122.18</v>
      </c>
      <c r="P99" t="s">
        <v>25</v>
      </c>
      <c r="Q99" t="s">
        <v>623</v>
      </c>
      <c r="R99" s="1" t="s">
        <v>526</v>
      </c>
      <c r="S99" s="1">
        <f>IFERROR(AVERAGE(Rural[[#This Row],[‫دیسمبر‬‏]]:Rural[[#This Row],[‫اكتوبر‬‏]]),"")</f>
        <v>117.52333333333333</v>
      </c>
      <c r="T99" s="1">
        <f>IFERROR(AVERAGE(Rural[[#This Row],[‫سبتمبر‬‏]]:Rural[[#This Row],[‫یولیو‬‏]]),"")</f>
        <v>119.01666666666665</v>
      </c>
      <c r="U99" s="1">
        <f>IFERROR(AVERAGE(Rural[[#This Row],[‫یونیو‬‏]]:Rural[[#This Row],[‫ابریل‬‏]]),"")</f>
        <v>124.75666666666666</v>
      </c>
      <c r="V99" s="1">
        <f>IFERROR(AVERAGE(Rural[[#This Row],[‫مارس‬‏]]:Rural[[#This Row],[‫ینایر‬‏]]),"")</f>
        <v>124.55</v>
      </c>
    </row>
    <row r="100" spans="1:22" x14ac:dyDescent="0.35">
      <c r="A100" s="1">
        <v>3.5</v>
      </c>
      <c r="B100" s="1">
        <v>111.83</v>
      </c>
      <c r="C100" s="1">
        <v>115.75</v>
      </c>
      <c r="D100" s="1">
        <v>113.63</v>
      </c>
      <c r="E100" s="1">
        <v>113.61</v>
      </c>
      <c r="F100" s="1">
        <v>113.73</v>
      </c>
      <c r="G100" s="1">
        <v>114.36</v>
      </c>
      <c r="H100" s="1">
        <v>114.13</v>
      </c>
      <c r="I100" s="1">
        <v>113.57</v>
      </c>
      <c r="J100" s="1">
        <v>116.76</v>
      </c>
      <c r="K100" s="1">
        <v>116.67</v>
      </c>
      <c r="L100" s="1">
        <v>120.11</v>
      </c>
      <c r="M100" s="1">
        <v>119.29</v>
      </c>
      <c r="N100" s="1">
        <v>118</v>
      </c>
      <c r="O100" s="1">
        <v>115.12</v>
      </c>
      <c r="P100" t="s">
        <v>25</v>
      </c>
      <c r="Q100" t="s">
        <v>624</v>
      </c>
      <c r="R100" s="1" t="s">
        <v>526</v>
      </c>
      <c r="S100" s="1">
        <f>IFERROR(AVERAGE(Rural[[#This Row],[‫دیسمبر‬‏]]:Rural[[#This Row],[‫اكتوبر‬‏]]),"")</f>
        <v>113.65666666666668</v>
      </c>
      <c r="T100" s="1">
        <f>IFERROR(AVERAGE(Rural[[#This Row],[‫سبتمبر‬‏]]:Rural[[#This Row],[‫یولیو‬‏]]),"")</f>
        <v>114.02</v>
      </c>
      <c r="U100" s="1">
        <f>IFERROR(AVERAGE(Rural[[#This Row],[‫یونیو‬‏]]:Rural[[#This Row],[‫ابریل‬‏]]),"")</f>
        <v>117.84666666666668</v>
      </c>
      <c r="V100" s="1">
        <f>IFERROR(AVERAGE(Rural[[#This Row],[‫مارس‬‏]]:Rural[[#This Row],[‫ینایر‬‏]]),"")</f>
        <v>117.47000000000001</v>
      </c>
    </row>
    <row r="101" spans="1:22" x14ac:dyDescent="0.35">
      <c r="A101" s="1">
        <v>11.7</v>
      </c>
      <c r="B101" s="1">
        <v>126.99</v>
      </c>
      <c r="C101" s="1">
        <v>141.81</v>
      </c>
      <c r="D101" s="1">
        <v>143.86000000000001</v>
      </c>
      <c r="E101" s="1">
        <v>143.30000000000001</v>
      </c>
      <c r="F101" s="1">
        <v>143.80000000000001</v>
      </c>
      <c r="G101" s="1">
        <v>142.91</v>
      </c>
      <c r="H101" s="1">
        <v>142.38999999999999</v>
      </c>
      <c r="I101" s="1">
        <v>141.80000000000001</v>
      </c>
      <c r="J101" s="1">
        <v>141.82</v>
      </c>
      <c r="K101" s="1">
        <v>141.91999999999999</v>
      </c>
      <c r="L101" s="1">
        <v>144.41999999999999</v>
      </c>
      <c r="M101" s="1">
        <v>142.94999999999999</v>
      </c>
      <c r="N101" s="1">
        <v>138.22999999999999</v>
      </c>
      <c r="O101" s="1">
        <v>134.35</v>
      </c>
      <c r="P101" t="s">
        <v>111</v>
      </c>
      <c r="Q101" t="s">
        <v>625</v>
      </c>
      <c r="R101" s="1" t="s">
        <v>526</v>
      </c>
      <c r="S101" s="1">
        <f>IFERROR(AVERAGE(Rural[[#This Row],[‫دیسمبر‬‏]]:Rural[[#This Row],[‫اكتوبر‬‏]]),"")</f>
        <v>143.65333333333334</v>
      </c>
      <c r="T101" s="1">
        <f>IFERROR(AVERAGE(Rural[[#This Row],[‫سبتمبر‬‏]]:Rural[[#This Row],[‫یولیو‬‏]]),"")</f>
        <v>142.36666666666665</v>
      </c>
      <c r="U101" s="1">
        <f>IFERROR(AVERAGE(Rural[[#This Row],[‫یونیو‬‏]]:Rural[[#This Row],[‫ابریل‬‏]]),"")</f>
        <v>142.72</v>
      </c>
      <c r="V101" s="1">
        <f>IFERROR(AVERAGE(Rural[[#This Row],[‫مارس‬‏]]:Rural[[#This Row],[‫ینایر‬‏]]),"")</f>
        <v>138.51</v>
      </c>
    </row>
    <row r="102" spans="1:22" x14ac:dyDescent="0.35">
      <c r="A102" s="1">
        <v>-2.4</v>
      </c>
      <c r="B102" s="1">
        <v>5.56</v>
      </c>
      <c r="C102" s="1">
        <v>5.42</v>
      </c>
      <c r="D102" s="1">
        <v>5.14</v>
      </c>
      <c r="E102" s="1">
        <v>5.32</v>
      </c>
      <c r="F102" s="1">
        <v>5.42</v>
      </c>
      <c r="G102" s="1">
        <v>5.18</v>
      </c>
      <c r="H102" s="1">
        <v>5.05</v>
      </c>
      <c r="I102" s="1">
        <v>5.08</v>
      </c>
      <c r="J102" s="1">
        <v>5.15</v>
      </c>
      <c r="K102" s="1">
        <v>5.25</v>
      </c>
      <c r="L102" s="1">
        <v>5.87</v>
      </c>
      <c r="M102" s="1">
        <v>5.87</v>
      </c>
      <c r="N102" s="1">
        <v>5.85</v>
      </c>
      <c r="O102" s="1">
        <v>5.86</v>
      </c>
      <c r="P102" t="s">
        <v>267</v>
      </c>
      <c r="Q102" t="s">
        <v>626</v>
      </c>
      <c r="R102" s="1" t="s">
        <v>526</v>
      </c>
      <c r="S102" s="1">
        <f>IFERROR(AVERAGE(Rural[[#This Row],[‫دیسمبر‬‏]]:Rural[[#This Row],[‫اكتوبر‬‏]]),"")</f>
        <v>5.2933333333333339</v>
      </c>
      <c r="T102" s="1">
        <f>IFERROR(AVERAGE(Rural[[#This Row],[‫سبتمبر‬‏]]:Rural[[#This Row],[‫یولیو‬‏]]),"")</f>
        <v>5.1033333333333335</v>
      </c>
      <c r="U102" s="1">
        <f>IFERROR(AVERAGE(Rural[[#This Row],[‫یونیو‬‏]]:Rural[[#This Row],[‫ابریل‬‏]]),"")</f>
        <v>5.4233333333333329</v>
      </c>
      <c r="V102" s="1">
        <f>IFERROR(AVERAGE(Rural[[#This Row],[‫مارس‬‏]]:Rural[[#This Row],[‫ینایر‬‏]]),"")</f>
        <v>5.8599999999999994</v>
      </c>
    </row>
    <row r="103" spans="1:22" x14ac:dyDescent="0.35">
      <c r="A103" s="1">
        <v>-3.4</v>
      </c>
      <c r="B103" s="1">
        <v>5.72</v>
      </c>
      <c r="C103" s="1">
        <v>5.53</v>
      </c>
      <c r="D103" s="1">
        <v>5.31</v>
      </c>
      <c r="E103" s="1">
        <v>5.4</v>
      </c>
      <c r="F103" s="1">
        <v>5.49</v>
      </c>
      <c r="G103" s="1">
        <v>5.32</v>
      </c>
      <c r="H103" s="1">
        <v>5.25</v>
      </c>
      <c r="I103" s="1">
        <v>5.21</v>
      </c>
      <c r="J103" s="1">
        <v>5.26</v>
      </c>
      <c r="K103" s="1">
        <v>5.31</v>
      </c>
      <c r="L103" s="1">
        <v>5.93</v>
      </c>
      <c r="M103" s="1">
        <v>5.98</v>
      </c>
      <c r="N103" s="1">
        <v>5.91</v>
      </c>
      <c r="O103" s="1">
        <v>5.96</v>
      </c>
      <c r="P103" t="s">
        <v>267</v>
      </c>
      <c r="Q103" t="s">
        <v>627</v>
      </c>
      <c r="R103" s="1" t="s">
        <v>526</v>
      </c>
      <c r="S103" s="1">
        <f>IFERROR(AVERAGE(Rural[[#This Row],[‫دیسمبر‬‏]]:Rural[[#This Row],[‫اكتوبر‬‏]]),"")</f>
        <v>5.4000000000000012</v>
      </c>
      <c r="T103" s="1">
        <f>IFERROR(AVERAGE(Rural[[#This Row],[‫سبتمبر‬‏]]:Rural[[#This Row],[‫یولیو‬‏]]),"")</f>
        <v>5.2600000000000007</v>
      </c>
      <c r="U103" s="1">
        <f>IFERROR(AVERAGE(Rural[[#This Row],[‫یونیو‬‏]]:Rural[[#This Row],[‫ابریل‬‏]]),"")</f>
        <v>5.5</v>
      </c>
      <c r="V103" s="1">
        <f>IFERROR(AVERAGE(Rural[[#This Row],[‫مارس‬‏]]:Rural[[#This Row],[‫ینایر‬‏]]),"")</f>
        <v>5.95</v>
      </c>
    </row>
    <row r="104" spans="1:22" x14ac:dyDescent="0.35">
      <c r="A104" s="1">
        <v>-2.7</v>
      </c>
      <c r="B104" s="1">
        <v>5.62</v>
      </c>
      <c r="C104" s="1">
        <v>5.47</v>
      </c>
      <c r="D104" s="1">
        <v>5.19</v>
      </c>
      <c r="E104" s="1">
        <v>5.4</v>
      </c>
      <c r="F104" s="1">
        <v>5.46</v>
      </c>
      <c r="G104" s="1">
        <v>5.25</v>
      </c>
      <c r="H104" s="1">
        <v>5.14</v>
      </c>
      <c r="I104" s="1">
        <v>5.16</v>
      </c>
      <c r="J104" s="1">
        <v>5.23</v>
      </c>
      <c r="K104" s="1">
        <v>5.27</v>
      </c>
      <c r="L104" s="1">
        <v>5.9</v>
      </c>
      <c r="M104" s="1">
        <v>5.88</v>
      </c>
      <c r="N104" s="1">
        <v>5.87</v>
      </c>
      <c r="O104" s="1">
        <v>5.86</v>
      </c>
      <c r="P104" t="s">
        <v>267</v>
      </c>
      <c r="Q104" t="s">
        <v>628</v>
      </c>
      <c r="R104" s="1" t="s">
        <v>526</v>
      </c>
      <c r="S104" s="1">
        <f>IFERROR(AVERAGE(Rural[[#This Row],[‫دیسمبر‬‏]]:Rural[[#This Row],[‫اكتوبر‬‏]]),"")</f>
        <v>5.3500000000000005</v>
      </c>
      <c r="T104" s="1">
        <f>IFERROR(AVERAGE(Rural[[#This Row],[‫سبتمبر‬‏]]:Rural[[#This Row],[‫یولیو‬‏]]),"")</f>
        <v>5.1833333333333336</v>
      </c>
      <c r="U104" s="1">
        <f>IFERROR(AVERAGE(Rural[[#This Row],[‫یونیو‬‏]]:Rural[[#This Row],[‫ابریل‬‏]]),"")</f>
        <v>5.4666666666666659</v>
      </c>
      <c r="V104" s="1">
        <f>IFERROR(AVERAGE(Rural[[#This Row],[‫مارس‬‏]]:Rural[[#This Row],[‫ینایر‬‏]]),"")</f>
        <v>5.87</v>
      </c>
    </row>
    <row r="105" spans="1:22" x14ac:dyDescent="0.35">
      <c r="A105" s="1">
        <v>-10.1</v>
      </c>
      <c r="B105" s="1">
        <v>86.89</v>
      </c>
      <c r="C105" s="1">
        <v>78.13</v>
      </c>
      <c r="D105" s="1">
        <v>70.36</v>
      </c>
      <c r="E105" s="1">
        <v>75.37</v>
      </c>
      <c r="F105" s="1">
        <v>75.8</v>
      </c>
      <c r="G105" s="1">
        <v>63.89</v>
      </c>
      <c r="H105" s="1">
        <v>63.67</v>
      </c>
      <c r="I105" s="1">
        <v>65.16</v>
      </c>
      <c r="J105" s="1">
        <v>69.52</v>
      </c>
      <c r="K105" s="1">
        <v>72.37</v>
      </c>
      <c r="L105" s="1">
        <v>91.12</v>
      </c>
      <c r="M105" s="1">
        <v>100.39</v>
      </c>
      <c r="N105" s="1">
        <v>97.08</v>
      </c>
      <c r="O105" s="1">
        <v>92.84</v>
      </c>
      <c r="P105" t="s">
        <v>267</v>
      </c>
      <c r="Q105" t="s">
        <v>629</v>
      </c>
      <c r="R105" s="1" t="s">
        <v>526</v>
      </c>
      <c r="S105" s="1">
        <f>IFERROR(AVERAGE(Rural[[#This Row],[‫دیسمبر‬‏]]:Rural[[#This Row],[‫اكتوبر‬‏]]),"")</f>
        <v>73.843333333333348</v>
      </c>
      <c r="T105" s="1">
        <f>IFERROR(AVERAGE(Rural[[#This Row],[‫سبتمبر‬‏]]:Rural[[#This Row],[‫یولیو‬‏]]),"")</f>
        <v>64.239999999999995</v>
      </c>
      <c r="U105" s="1">
        <f>IFERROR(AVERAGE(Rural[[#This Row],[‫یونیو‬‏]]:Rural[[#This Row],[‫ابریل‬‏]]),"")</f>
        <v>77.67</v>
      </c>
      <c r="V105" s="1">
        <f>IFERROR(AVERAGE(Rural[[#This Row],[‫مارس‬‏]]:Rural[[#This Row],[‫ینایر‬‏]]),"")</f>
        <v>96.77</v>
      </c>
    </row>
    <row r="106" spans="1:22" x14ac:dyDescent="0.35">
      <c r="A106" s="1">
        <v>-16.8</v>
      </c>
      <c r="B106" s="1">
        <v>110.87</v>
      </c>
      <c r="C106" s="1">
        <v>92.26</v>
      </c>
      <c r="D106" s="1">
        <v>71.31</v>
      </c>
      <c r="E106" s="1">
        <v>77.06</v>
      </c>
      <c r="F106" s="1">
        <v>77.19</v>
      </c>
      <c r="G106" s="1">
        <v>77.11</v>
      </c>
      <c r="H106" s="1">
        <v>76.489999999999995</v>
      </c>
      <c r="I106" s="1">
        <v>79.06</v>
      </c>
      <c r="J106" s="1">
        <v>81.64</v>
      </c>
      <c r="K106" s="1">
        <v>82.9</v>
      </c>
      <c r="L106" s="1">
        <v>120.34</v>
      </c>
      <c r="M106" s="1">
        <v>124.27</v>
      </c>
      <c r="N106" s="1">
        <v>121.08</v>
      </c>
      <c r="O106" s="1">
        <v>118.74</v>
      </c>
      <c r="P106" t="s">
        <v>267</v>
      </c>
      <c r="Q106" t="s">
        <v>629</v>
      </c>
      <c r="R106" s="1" t="s">
        <v>526</v>
      </c>
      <c r="S106" s="1">
        <f>IFERROR(AVERAGE(Rural[[#This Row],[‫دیسمبر‬‏]]:Rural[[#This Row],[‫اكتوبر‬‏]]),"")</f>
        <v>75.186666666666667</v>
      </c>
      <c r="T106" s="1">
        <f>IFERROR(AVERAGE(Rural[[#This Row],[‫سبتمبر‬‏]]:Rural[[#This Row],[‫یولیو‬‏]]),"")</f>
        <v>77.553333333333327</v>
      </c>
      <c r="U106" s="1">
        <f>IFERROR(AVERAGE(Rural[[#This Row],[‫یونیو‬‏]]:Rural[[#This Row],[‫ابریل‬‏]]),"")</f>
        <v>94.96</v>
      </c>
      <c r="V106" s="1">
        <f>IFERROR(AVERAGE(Rural[[#This Row],[‫مارس‬‏]]:Rural[[#This Row],[‫ینایر‬‏]]),"")</f>
        <v>121.36333333333333</v>
      </c>
    </row>
    <row r="107" spans="1:22" x14ac:dyDescent="0.35">
      <c r="A107" s="1">
        <v>4.2</v>
      </c>
      <c r="B107" s="1">
        <v>166.44</v>
      </c>
      <c r="C107" s="1">
        <v>173.5</v>
      </c>
      <c r="D107" s="1">
        <v>159.65</v>
      </c>
      <c r="E107" s="1">
        <v>166.95</v>
      </c>
      <c r="F107" s="1">
        <v>167.68</v>
      </c>
      <c r="G107" s="1">
        <v>171.1</v>
      </c>
      <c r="H107" s="1">
        <v>171.51</v>
      </c>
      <c r="I107" s="1">
        <v>176.72</v>
      </c>
      <c r="J107" s="1">
        <v>179.17</v>
      </c>
      <c r="K107" s="1">
        <v>177.36</v>
      </c>
      <c r="L107" s="1">
        <v>178.01</v>
      </c>
      <c r="M107" s="1">
        <v>182.11</v>
      </c>
      <c r="N107" s="1">
        <v>177.81</v>
      </c>
      <c r="O107" s="1">
        <v>173.94</v>
      </c>
      <c r="P107" t="s">
        <v>25</v>
      </c>
      <c r="Q107" t="s">
        <v>630</v>
      </c>
      <c r="R107" s="1" t="s">
        <v>526</v>
      </c>
      <c r="S107" s="1">
        <f>IFERROR(AVERAGE(Rural[[#This Row],[‫دیسمبر‬‏]]:Rural[[#This Row],[‫اكتوبر‬‏]]),"")</f>
        <v>164.76000000000002</v>
      </c>
      <c r="T107" s="1">
        <f>IFERROR(AVERAGE(Rural[[#This Row],[‫سبتمبر‬‏]]:Rural[[#This Row],[‫یولیو‬‏]]),"")</f>
        <v>173.11</v>
      </c>
      <c r="U107" s="1">
        <f>IFERROR(AVERAGE(Rural[[#This Row],[‫یونیو‬‏]]:Rural[[#This Row],[‫ابریل‬‏]]),"")</f>
        <v>178.17999999999998</v>
      </c>
      <c r="V107" s="1">
        <f>IFERROR(AVERAGE(Rural[[#This Row],[‫مارس‬‏]]:Rural[[#This Row],[‫ینایر‬‏]]),"")</f>
        <v>177.95333333333335</v>
      </c>
    </row>
    <row r="108" spans="1:22" x14ac:dyDescent="0.35">
      <c r="A108" s="1">
        <v>-0.1</v>
      </c>
      <c r="B108" s="1">
        <v>106.07</v>
      </c>
      <c r="C108" s="1">
        <v>106</v>
      </c>
      <c r="D108" s="1">
        <v>93.11</v>
      </c>
      <c r="E108" s="1">
        <v>96.53</v>
      </c>
      <c r="F108" s="1">
        <v>97.48</v>
      </c>
      <c r="G108" s="1">
        <v>98.03</v>
      </c>
      <c r="H108" s="1">
        <v>98.76</v>
      </c>
      <c r="I108" s="1">
        <v>101.29</v>
      </c>
      <c r="J108" s="1">
        <v>110.01</v>
      </c>
      <c r="K108" s="1">
        <v>113.66</v>
      </c>
      <c r="L108" s="1">
        <v>120.17</v>
      </c>
      <c r="M108" s="1">
        <v>118.88</v>
      </c>
      <c r="N108" s="1">
        <v>114.85</v>
      </c>
      <c r="O108" s="1">
        <v>109.23</v>
      </c>
      <c r="P108" t="s">
        <v>25</v>
      </c>
      <c r="Q108" t="s">
        <v>631</v>
      </c>
      <c r="R108" s="1" t="s">
        <v>526</v>
      </c>
      <c r="S108" s="1">
        <f>IFERROR(AVERAGE(Rural[[#This Row],[‫دیسمبر‬‏]]:Rural[[#This Row],[‫اكتوبر‬‏]]),"")</f>
        <v>95.706666666666663</v>
      </c>
      <c r="T108" s="1">
        <f>IFERROR(AVERAGE(Rural[[#This Row],[‫سبتمبر‬‏]]:Rural[[#This Row],[‫یولیو‬‏]]),"")</f>
        <v>99.360000000000014</v>
      </c>
      <c r="U108" s="1">
        <f>IFERROR(AVERAGE(Rural[[#This Row],[‫یونیو‬‏]]:Rural[[#This Row],[‫ابریل‬‏]]),"")</f>
        <v>114.61333333333334</v>
      </c>
      <c r="V108" s="1">
        <f>IFERROR(AVERAGE(Rural[[#This Row],[‫مارس‬‏]]:Rural[[#This Row],[‫ینایر‬‏]]),"")</f>
        <v>114.32</v>
      </c>
    </row>
    <row r="109" spans="1:22" x14ac:dyDescent="0.35">
      <c r="A109" s="1">
        <v>0.1</v>
      </c>
      <c r="B109" s="1">
        <v>192.97</v>
      </c>
      <c r="C109" s="1">
        <v>193.07</v>
      </c>
      <c r="D109" s="1">
        <v>172.71</v>
      </c>
      <c r="E109" s="1">
        <v>176.38</v>
      </c>
      <c r="F109" s="1">
        <v>179.92</v>
      </c>
      <c r="G109" s="1">
        <v>180.51</v>
      </c>
      <c r="H109" s="1">
        <v>184.62</v>
      </c>
      <c r="I109" s="1">
        <v>187.21</v>
      </c>
      <c r="J109" s="1">
        <v>202.87</v>
      </c>
      <c r="K109" s="1">
        <v>206.35</v>
      </c>
      <c r="L109" s="1">
        <v>211.82</v>
      </c>
      <c r="M109" s="1">
        <v>213.38</v>
      </c>
      <c r="N109" s="1">
        <v>204.9</v>
      </c>
      <c r="O109" s="1">
        <v>196.13</v>
      </c>
      <c r="P109" t="s">
        <v>25</v>
      </c>
      <c r="Q109" t="s">
        <v>632</v>
      </c>
      <c r="R109" s="1" t="s">
        <v>526</v>
      </c>
      <c r="S109" s="1">
        <f>IFERROR(AVERAGE(Rural[[#This Row],[‫دیسمبر‬‏]]:Rural[[#This Row],[‫اكتوبر‬‏]]),"")</f>
        <v>176.33666666666667</v>
      </c>
      <c r="T109" s="1">
        <f>IFERROR(AVERAGE(Rural[[#This Row],[‫سبتمبر‬‏]]:Rural[[#This Row],[‫یولیو‬‏]]),"")</f>
        <v>184.11333333333334</v>
      </c>
      <c r="U109" s="1">
        <f>IFERROR(AVERAGE(Rural[[#This Row],[‫یونیو‬‏]]:Rural[[#This Row],[‫ابریل‬‏]]),"")</f>
        <v>207.01333333333332</v>
      </c>
      <c r="V109" s="1">
        <f>IFERROR(AVERAGE(Rural[[#This Row],[‫مارس‬‏]]:Rural[[#This Row],[‫ینایر‬‏]]),"")</f>
        <v>204.80333333333331</v>
      </c>
    </row>
    <row r="110" spans="1:22" x14ac:dyDescent="0.35">
      <c r="A110" s="1">
        <v>0.2</v>
      </c>
      <c r="B110" s="1">
        <v>102.28</v>
      </c>
      <c r="C110" s="1">
        <v>102.45</v>
      </c>
      <c r="D110" s="1">
        <v>91.86</v>
      </c>
      <c r="E110" s="1">
        <v>93.67</v>
      </c>
      <c r="F110" s="1">
        <v>95.26</v>
      </c>
      <c r="G110" s="1">
        <v>95.45</v>
      </c>
      <c r="H110" s="1">
        <v>95.52</v>
      </c>
      <c r="I110" s="1">
        <v>98.75</v>
      </c>
      <c r="J110" s="1">
        <v>105.37</v>
      </c>
      <c r="K110" s="1">
        <v>109.95</v>
      </c>
      <c r="L110" s="1">
        <v>114.51</v>
      </c>
      <c r="M110" s="1">
        <v>114.36</v>
      </c>
      <c r="N110" s="1">
        <v>109.39</v>
      </c>
      <c r="O110" s="1">
        <v>105.26</v>
      </c>
      <c r="P110" t="s">
        <v>25</v>
      </c>
      <c r="Q110" t="s">
        <v>633</v>
      </c>
      <c r="R110" s="1" t="s">
        <v>526</v>
      </c>
      <c r="S110" s="1">
        <f>IFERROR(AVERAGE(Rural[[#This Row],[‫دیسمبر‬‏]]:Rural[[#This Row],[‫اكتوبر‬‏]]),"")</f>
        <v>93.596666666666678</v>
      </c>
      <c r="T110" s="1">
        <f>IFERROR(AVERAGE(Rural[[#This Row],[‫سبتمبر‬‏]]:Rural[[#This Row],[‫یولیو‬‏]]),"")</f>
        <v>96.573333333333338</v>
      </c>
      <c r="U110" s="1">
        <f>IFERROR(AVERAGE(Rural[[#This Row],[‫یونیو‬‏]]:Rural[[#This Row],[‫ابریل‬‏]]),"")</f>
        <v>109.94333333333333</v>
      </c>
      <c r="V110" s="1">
        <f>IFERROR(AVERAGE(Rural[[#This Row],[‫مارس‬‏]]:Rural[[#This Row],[‫ینایر‬‏]]),"")</f>
        <v>109.67</v>
      </c>
    </row>
    <row r="111" spans="1:22" x14ac:dyDescent="0.35">
      <c r="A111" s="1">
        <v>12.8</v>
      </c>
      <c r="B111" s="1">
        <v>93.43</v>
      </c>
      <c r="C111" s="1">
        <v>105.4</v>
      </c>
      <c r="D111" s="1">
        <v>107.52</v>
      </c>
      <c r="E111" s="1">
        <v>106.66</v>
      </c>
      <c r="F111" s="1">
        <v>108.09</v>
      </c>
      <c r="G111" s="1">
        <v>107.12</v>
      </c>
      <c r="H111" s="1">
        <v>107.1</v>
      </c>
      <c r="I111" s="1">
        <v>106.44</v>
      </c>
      <c r="J111" s="1">
        <v>103.87</v>
      </c>
      <c r="K111" s="1">
        <v>105.53</v>
      </c>
      <c r="L111" s="1">
        <v>104.1</v>
      </c>
      <c r="M111" s="1">
        <v>103.55</v>
      </c>
      <c r="N111" s="1">
        <v>102.78</v>
      </c>
      <c r="O111" s="1">
        <v>102.04</v>
      </c>
      <c r="P111" t="s">
        <v>25</v>
      </c>
      <c r="Q111" t="s">
        <v>634</v>
      </c>
      <c r="R111" s="1" t="s">
        <v>526</v>
      </c>
      <c r="S111" s="1">
        <f>IFERROR(AVERAGE(Rural[[#This Row],[‫دیسمبر‬‏]]:Rural[[#This Row],[‫اكتوبر‬‏]]),"")</f>
        <v>107.42333333333333</v>
      </c>
      <c r="T111" s="1">
        <f>IFERROR(AVERAGE(Rural[[#This Row],[‫سبتمبر‬‏]]:Rural[[#This Row],[‫یولیو‬‏]]),"")</f>
        <v>106.88666666666666</v>
      </c>
      <c r="U111" s="1">
        <f>IFERROR(AVERAGE(Rural[[#This Row],[‫یونیو‬‏]]:Rural[[#This Row],[‫ابریل‬‏]]),"")</f>
        <v>104.5</v>
      </c>
      <c r="V111" s="1">
        <f>IFERROR(AVERAGE(Rural[[#This Row],[‫مارس‬‏]]:Rural[[#This Row],[‫ینایر‬‏]]),"")</f>
        <v>102.79</v>
      </c>
    </row>
    <row r="112" spans="1:22" x14ac:dyDescent="0.35">
      <c r="A112" s="1">
        <v>6</v>
      </c>
      <c r="B112" s="1">
        <v>82.69</v>
      </c>
      <c r="C112" s="1">
        <v>87.69</v>
      </c>
      <c r="D112" s="1">
        <v>86.58</v>
      </c>
      <c r="E112" s="1">
        <v>86.95</v>
      </c>
      <c r="F112" s="1">
        <v>88.58</v>
      </c>
      <c r="G112" s="1">
        <v>88.52</v>
      </c>
      <c r="H112" s="1">
        <v>89.45</v>
      </c>
      <c r="I112" s="1">
        <v>90.89</v>
      </c>
      <c r="J112" s="1">
        <v>89.08</v>
      </c>
      <c r="K112" s="1">
        <v>87.81</v>
      </c>
      <c r="L112" s="1">
        <v>86.49</v>
      </c>
      <c r="M112" s="1">
        <v>85.95</v>
      </c>
      <c r="N112" s="1">
        <v>86.5</v>
      </c>
      <c r="O112" s="1">
        <v>85.44</v>
      </c>
      <c r="P112" t="s">
        <v>25</v>
      </c>
      <c r="Q112" t="s">
        <v>635</v>
      </c>
      <c r="R112" s="1" t="s">
        <v>526</v>
      </c>
      <c r="S112" s="1">
        <f>IFERROR(AVERAGE(Rural[[#This Row],[‫دیسمبر‬‏]]:Rural[[#This Row],[‫اكتوبر‬‏]]),"")</f>
        <v>87.37</v>
      </c>
      <c r="T112" s="1">
        <f>IFERROR(AVERAGE(Rural[[#This Row],[‫سبتمبر‬‏]]:Rural[[#This Row],[‫یولیو‬‏]]),"")</f>
        <v>89.62</v>
      </c>
      <c r="U112" s="1">
        <f>IFERROR(AVERAGE(Rural[[#This Row],[‫یونیو‬‏]]:Rural[[#This Row],[‫ابریل‬‏]]),"")</f>
        <v>87.793333333333337</v>
      </c>
      <c r="V112" s="1">
        <f>IFERROR(AVERAGE(Rural[[#This Row],[‫مارس‬‏]]:Rural[[#This Row],[‫ینایر‬‏]]),"")</f>
        <v>85.963333333333324</v>
      </c>
    </row>
    <row r="113" spans="1:22" x14ac:dyDescent="0.35">
      <c r="A113" s="1">
        <v>7.6</v>
      </c>
      <c r="B113" s="1">
        <v>54.69</v>
      </c>
      <c r="C113" s="1">
        <v>58.87</v>
      </c>
      <c r="D113" s="1">
        <v>58.76</v>
      </c>
      <c r="E113" s="1">
        <v>58.84</v>
      </c>
      <c r="F113" s="1">
        <v>59.33</v>
      </c>
      <c r="G113" s="1">
        <v>59.2</v>
      </c>
      <c r="H113" s="1">
        <v>58.74</v>
      </c>
      <c r="I113" s="1">
        <v>59.52</v>
      </c>
      <c r="J113" s="1">
        <v>59.77</v>
      </c>
      <c r="K113" s="1">
        <v>59.21</v>
      </c>
      <c r="L113" s="1">
        <v>59.33</v>
      </c>
      <c r="M113" s="1">
        <v>58.55</v>
      </c>
      <c r="N113" s="1">
        <v>57.89</v>
      </c>
      <c r="O113" s="1">
        <v>57.27</v>
      </c>
      <c r="P113" t="s">
        <v>25</v>
      </c>
      <c r="Q113" t="s">
        <v>636</v>
      </c>
      <c r="R113" s="1" t="s">
        <v>526</v>
      </c>
      <c r="S113" s="1">
        <f>IFERROR(AVERAGE(Rural[[#This Row],[‫دیسمبر‬‏]]:Rural[[#This Row],[‫اكتوبر‬‏]]),"")</f>
        <v>58.976666666666667</v>
      </c>
      <c r="T113" s="1">
        <f>IFERROR(AVERAGE(Rural[[#This Row],[‫سبتمبر‬‏]]:Rural[[#This Row],[‫یولیو‬‏]]),"")</f>
        <v>59.153333333333336</v>
      </c>
      <c r="U113" s="1">
        <f>IFERROR(AVERAGE(Rural[[#This Row],[‫یونیو‬‏]]:Rural[[#This Row],[‫ابریل‬‏]]),"")</f>
        <v>59.436666666666667</v>
      </c>
      <c r="V113" s="1">
        <f>IFERROR(AVERAGE(Rural[[#This Row],[‫مارس‬‏]]:Rural[[#This Row],[‫ینایر‬‏]]),"")</f>
        <v>57.903333333333336</v>
      </c>
    </row>
    <row r="114" spans="1:22" x14ac:dyDescent="0.35">
      <c r="A114" s="1">
        <v>12.4</v>
      </c>
      <c r="B114" s="1">
        <v>127.61</v>
      </c>
      <c r="C114" s="1">
        <v>143.41</v>
      </c>
      <c r="D114" s="1">
        <v>150.58000000000001</v>
      </c>
      <c r="E114" s="1">
        <v>154.38999999999999</v>
      </c>
      <c r="F114" s="1">
        <v>153.66999999999999</v>
      </c>
      <c r="G114" s="1">
        <v>147.99</v>
      </c>
      <c r="H114" s="1">
        <v>145.04</v>
      </c>
      <c r="I114" s="1">
        <v>146.72999999999999</v>
      </c>
      <c r="J114" s="1">
        <v>144.22999999999999</v>
      </c>
      <c r="K114" s="1">
        <v>142.71</v>
      </c>
      <c r="L114" s="1">
        <v>132.74</v>
      </c>
      <c r="M114" s="1">
        <v>134.22999999999999</v>
      </c>
      <c r="N114" s="1">
        <v>134.43</v>
      </c>
      <c r="O114" s="1">
        <v>134.22</v>
      </c>
      <c r="P114" t="s">
        <v>25</v>
      </c>
      <c r="Q114" t="s">
        <v>637</v>
      </c>
      <c r="R114" s="1" t="s">
        <v>526</v>
      </c>
      <c r="S114" s="1">
        <f>IFERROR(AVERAGE(Rural[[#This Row],[‫دیسمبر‬‏]]:Rural[[#This Row],[‫اكتوبر‬‏]]),"")</f>
        <v>152.88</v>
      </c>
      <c r="T114" s="1">
        <f>IFERROR(AVERAGE(Rural[[#This Row],[‫سبتمبر‬‏]]:Rural[[#This Row],[‫یولیو‬‏]]),"")</f>
        <v>146.58666666666667</v>
      </c>
      <c r="U114" s="1">
        <f>IFERROR(AVERAGE(Rural[[#This Row],[‫یونیو‬‏]]:Rural[[#This Row],[‫ابریل‬‏]]),"")</f>
        <v>139.89333333333335</v>
      </c>
      <c r="V114" s="1">
        <f>IFERROR(AVERAGE(Rural[[#This Row],[‫مارس‬‏]]:Rural[[#This Row],[‫ینایر‬‏]]),"")</f>
        <v>134.29333333333332</v>
      </c>
    </row>
    <row r="115" spans="1:22" x14ac:dyDescent="0.35">
      <c r="A115" s="1">
        <v>2.5</v>
      </c>
      <c r="B115" s="1">
        <v>129.97</v>
      </c>
      <c r="C115" s="1">
        <v>133.22999999999999</v>
      </c>
      <c r="D115" s="1">
        <v>135.35</v>
      </c>
      <c r="E115" s="1">
        <v>134.38</v>
      </c>
      <c r="F115" s="1">
        <v>136.71</v>
      </c>
      <c r="G115" s="1">
        <v>134.47999999999999</v>
      </c>
      <c r="H115" s="1">
        <v>131.25</v>
      </c>
      <c r="I115" s="1">
        <v>131.83000000000001</v>
      </c>
      <c r="J115" s="1">
        <v>134.44999999999999</v>
      </c>
      <c r="K115" s="1">
        <v>134.02000000000001</v>
      </c>
      <c r="L115" s="1">
        <v>130.99</v>
      </c>
      <c r="M115" s="1">
        <v>131.07</v>
      </c>
      <c r="N115" s="1">
        <v>131.38</v>
      </c>
      <c r="O115" s="1">
        <v>132.84</v>
      </c>
      <c r="P115" t="s">
        <v>25</v>
      </c>
      <c r="Q115" t="s">
        <v>638</v>
      </c>
      <c r="R115" s="1" t="s">
        <v>526</v>
      </c>
      <c r="S115" s="1">
        <f>IFERROR(AVERAGE(Rural[[#This Row],[‫دیسمبر‬‏]]:Rural[[#This Row],[‫اكتوبر‬‏]]),"")</f>
        <v>135.48000000000002</v>
      </c>
      <c r="T115" s="1">
        <f>IFERROR(AVERAGE(Rural[[#This Row],[‫سبتمبر‬‏]]:Rural[[#This Row],[‫یولیو‬‏]]),"")</f>
        <v>132.52000000000001</v>
      </c>
      <c r="U115" s="1">
        <f>IFERROR(AVERAGE(Rural[[#This Row],[‫یونیو‬‏]]:Rural[[#This Row],[‫ابریل‬‏]]),"")</f>
        <v>133.15333333333334</v>
      </c>
      <c r="V115" s="1">
        <f>IFERROR(AVERAGE(Rural[[#This Row],[‫مارس‬‏]]:Rural[[#This Row],[‫ینایر‬‏]]),"")</f>
        <v>131.76333333333332</v>
      </c>
    </row>
    <row r="116" spans="1:22" x14ac:dyDescent="0.35">
      <c r="A116" s="1">
        <v>2.7</v>
      </c>
      <c r="B116" s="1">
        <v>156.78</v>
      </c>
      <c r="C116" s="1">
        <v>161.07</v>
      </c>
      <c r="D116" s="1">
        <v>166.52</v>
      </c>
      <c r="E116" s="1">
        <v>153.07</v>
      </c>
      <c r="F116" s="1">
        <v>153.13999999999999</v>
      </c>
      <c r="G116" s="1">
        <v>160.33000000000001</v>
      </c>
      <c r="H116" s="1">
        <v>162.66</v>
      </c>
      <c r="I116" s="1">
        <v>165.68</v>
      </c>
      <c r="J116" s="1">
        <v>167.99</v>
      </c>
      <c r="K116" s="1">
        <v>166.91</v>
      </c>
      <c r="L116" s="1">
        <v>162.91</v>
      </c>
      <c r="M116" s="1">
        <v>158.43</v>
      </c>
      <c r="N116" s="1">
        <v>157.58000000000001</v>
      </c>
      <c r="O116" s="1">
        <v>157.63999999999999</v>
      </c>
      <c r="P116" t="s">
        <v>25</v>
      </c>
      <c r="Q116" t="s">
        <v>639</v>
      </c>
      <c r="R116" s="1" t="s">
        <v>526</v>
      </c>
      <c r="S116" s="1">
        <f>IFERROR(AVERAGE(Rural[[#This Row],[‫دیسمبر‬‏]]:Rural[[#This Row],[‫اكتوبر‬‏]]),"")</f>
        <v>157.57666666666668</v>
      </c>
      <c r="T116" s="1">
        <f>IFERROR(AVERAGE(Rural[[#This Row],[‫سبتمبر‬‏]]:Rural[[#This Row],[‫یولیو‬‏]]),"")</f>
        <v>162.89000000000001</v>
      </c>
      <c r="U116" s="1">
        <f>IFERROR(AVERAGE(Rural[[#This Row],[‫یونیو‬‏]]:Rural[[#This Row],[‫ابریل‬‏]]),"")</f>
        <v>165.93666666666664</v>
      </c>
      <c r="V116" s="1">
        <f>IFERROR(AVERAGE(Rural[[#This Row],[‫مارس‬‏]]:Rural[[#This Row],[‫ینایر‬‏]]),"")</f>
        <v>157.88333333333333</v>
      </c>
    </row>
    <row r="117" spans="1:22" x14ac:dyDescent="0.35">
      <c r="A117" s="1">
        <v>-1.4</v>
      </c>
      <c r="B117" s="1">
        <v>151.47999999999999</v>
      </c>
      <c r="C117" s="1">
        <v>149.41</v>
      </c>
      <c r="D117" s="1">
        <v>153.69999999999999</v>
      </c>
      <c r="E117" s="1">
        <v>155.29</v>
      </c>
      <c r="F117" s="1">
        <v>152.99</v>
      </c>
      <c r="G117" s="1">
        <v>143.41</v>
      </c>
      <c r="H117" s="1">
        <v>144.16999999999999</v>
      </c>
      <c r="I117" s="1">
        <v>153.19999999999999</v>
      </c>
      <c r="J117" s="1">
        <v>163.38</v>
      </c>
      <c r="K117" s="1">
        <v>154.68</v>
      </c>
      <c r="L117" s="1">
        <v>117.15</v>
      </c>
      <c r="M117" s="1">
        <v>150</v>
      </c>
      <c r="N117" s="1">
        <v>154.37</v>
      </c>
      <c r="O117" s="1">
        <v>150.6</v>
      </c>
      <c r="P117" t="s">
        <v>25</v>
      </c>
      <c r="Q117" t="s">
        <v>640</v>
      </c>
      <c r="R117" s="1" t="s">
        <v>526</v>
      </c>
      <c r="S117" s="1">
        <f>IFERROR(AVERAGE(Rural[[#This Row],[‫دیسمبر‬‏]]:Rural[[#This Row],[‫اكتوبر‬‏]]),"")</f>
        <v>153.99333333333334</v>
      </c>
      <c r="T117" s="1">
        <f>IFERROR(AVERAGE(Rural[[#This Row],[‫سبتمبر‬‏]]:Rural[[#This Row],[‫یولیو‬‏]]),"")</f>
        <v>146.92666666666665</v>
      </c>
      <c r="U117" s="1">
        <f>IFERROR(AVERAGE(Rural[[#This Row],[‫یونیو‬‏]]:Rural[[#This Row],[‫ابریل‬‏]]),"")</f>
        <v>145.07000000000002</v>
      </c>
      <c r="V117" s="1">
        <f>IFERROR(AVERAGE(Rural[[#This Row],[‫مارس‬‏]]:Rural[[#This Row],[‫ینایر‬‏]]),"")</f>
        <v>151.65666666666667</v>
      </c>
    </row>
    <row r="118" spans="1:22" x14ac:dyDescent="0.35">
      <c r="A118" s="1">
        <v>13</v>
      </c>
      <c r="B118" s="1">
        <v>356.78</v>
      </c>
      <c r="C118" s="1">
        <v>403.08</v>
      </c>
      <c r="D118" s="1">
        <v>420.21</v>
      </c>
      <c r="E118" s="1">
        <v>417.67</v>
      </c>
      <c r="F118" s="1">
        <v>418.34</v>
      </c>
      <c r="G118" s="1">
        <v>381.1</v>
      </c>
      <c r="H118" s="1">
        <v>381.23</v>
      </c>
      <c r="I118" s="1">
        <v>382.24</v>
      </c>
      <c r="J118" s="1">
        <v>381.52</v>
      </c>
      <c r="K118" s="1">
        <v>379.57</v>
      </c>
      <c r="L118" s="1">
        <v>588.72</v>
      </c>
      <c r="M118" s="1">
        <v>362.88</v>
      </c>
      <c r="N118" s="1">
        <v>361.73</v>
      </c>
      <c r="O118" s="1">
        <v>361.7</v>
      </c>
      <c r="P118" t="s">
        <v>25</v>
      </c>
      <c r="Q118" t="s">
        <v>641</v>
      </c>
      <c r="R118" s="1" t="s">
        <v>526</v>
      </c>
      <c r="S118" s="1">
        <f>IFERROR(AVERAGE(Rural[[#This Row],[‫دیسمبر‬‏]]:Rural[[#This Row],[‫اكتوبر‬‏]]),"")</f>
        <v>418.74</v>
      </c>
      <c r="T118" s="1">
        <f>IFERROR(AVERAGE(Rural[[#This Row],[‫سبتمبر‬‏]]:Rural[[#This Row],[‫یولیو‬‏]]),"")</f>
        <v>381.52333333333337</v>
      </c>
      <c r="U118" s="1">
        <f>IFERROR(AVERAGE(Rural[[#This Row],[‫یونیو‬‏]]:Rural[[#This Row],[‫ابریل‬‏]]),"")</f>
        <v>449.93666666666667</v>
      </c>
      <c r="V118" s="1">
        <f>IFERROR(AVERAGE(Rural[[#This Row],[‫مارس‬‏]]:Rural[[#This Row],[‫ینایر‬‏]]),"")</f>
        <v>362.1033333333333</v>
      </c>
    </row>
    <row r="119" spans="1:22" x14ac:dyDescent="0.35">
      <c r="A119" s="1">
        <v>-6.3</v>
      </c>
      <c r="B119" s="1">
        <v>330.17</v>
      </c>
      <c r="C119" s="1">
        <v>309.38</v>
      </c>
      <c r="D119" s="1">
        <v>334.3</v>
      </c>
      <c r="E119" s="1">
        <v>333.53</v>
      </c>
      <c r="F119" s="1">
        <v>336.29</v>
      </c>
      <c r="G119" s="1">
        <v>303.64</v>
      </c>
      <c r="H119" s="1">
        <v>309.2</v>
      </c>
      <c r="I119" s="1">
        <v>318.58999999999997</v>
      </c>
      <c r="J119" s="1">
        <v>315.89</v>
      </c>
      <c r="K119" s="1">
        <v>309.44</v>
      </c>
      <c r="L119" s="1">
        <v>245.32</v>
      </c>
      <c r="M119" s="1">
        <v>282.63</v>
      </c>
      <c r="N119" s="1">
        <v>293.08999999999997</v>
      </c>
      <c r="O119" s="1">
        <v>330.69</v>
      </c>
      <c r="P119" t="s">
        <v>25</v>
      </c>
      <c r="Q119" t="s">
        <v>642</v>
      </c>
      <c r="R119" s="1" t="s">
        <v>526</v>
      </c>
      <c r="S119" s="1">
        <f>IFERROR(AVERAGE(Rural[[#This Row],[‫دیسمبر‬‏]]:Rural[[#This Row],[‫اكتوبر‬‏]]),"")</f>
        <v>334.70666666666665</v>
      </c>
      <c r="T119" s="1">
        <f>IFERROR(AVERAGE(Rural[[#This Row],[‫سبتمبر‬‏]]:Rural[[#This Row],[‫یولیو‬‏]]),"")</f>
        <v>310.47666666666663</v>
      </c>
      <c r="U119" s="1">
        <f>IFERROR(AVERAGE(Rural[[#This Row],[‫یونیو‬‏]]:Rural[[#This Row],[‫ابریل‬‏]]),"")</f>
        <v>290.21666666666664</v>
      </c>
      <c r="V119" s="1">
        <f>IFERROR(AVERAGE(Rural[[#This Row],[‫مارس‬‏]]:Rural[[#This Row],[‫ینایر‬‏]]),"")</f>
        <v>302.13666666666671</v>
      </c>
    </row>
    <row r="120" spans="1:22" x14ac:dyDescent="0.35">
      <c r="A120" s="1">
        <v>12.9</v>
      </c>
      <c r="B120" s="1">
        <v>104.08</v>
      </c>
      <c r="C120" s="1">
        <v>117.52</v>
      </c>
      <c r="D120" s="1">
        <v>125.06</v>
      </c>
      <c r="E120" s="1">
        <v>123.18</v>
      </c>
      <c r="F120" s="1">
        <v>122.89</v>
      </c>
      <c r="G120" s="1">
        <v>123.23</v>
      </c>
      <c r="H120" s="1">
        <v>118.33</v>
      </c>
      <c r="I120" s="1">
        <v>117.19</v>
      </c>
      <c r="J120" s="1">
        <v>116.66</v>
      </c>
      <c r="K120" s="1">
        <v>116.59</v>
      </c>
      <c r="L120" s="1">
        <v>111.86</v>
      </c>
      <c r="M120" s="1">
        <v>112.8</v>
      </c>
      <c r="N120" s="1">
        <v>112.26</v>
      </c>
      <c r="O120" s="1">
        <v>110.13</v>
      </c>
      <c r="P120" t="s">
        <v>25</v>
      </c>
      <c r="Q120" t="s">
        <v>643</v>
      </c>
      <c r="R120" s="1" t="s">
        <v>526</v>
      </c>
      <c r="S120" s="1">
        <f>IFERROR(AVERAGE(Rural[[#This Row],[‫دیسمبر‬‏]]:Rural[[#This Row],[‫اكتوبر‬‏]]),"")</f>
        <v>123.71</v>
      </c>
      <c r="T120" s="1">
        <f>IFERROR(AVERAGE(Rural[[#This Row],[‫سبتمبر‬‏]]:Rural[[#This Row],[‫یولیو‬‏]]),"")</f>
        <v>119.58333333333333</v>
      </c>
      <c r="U120" s="1">
        <f>IFERROR(AVERAGE(Rural[[#This Row],[‫یونیو‬‏]]:Rural[[#This Row],[‫ابریل‬‏]]),"")</f>
        <v>115.03666666666668</v>
      </c>
      <c r="V120" s="1">
        <f>IFERROR(AVERAGE(Rural[[#This Row],[‫مارس‬‏]]:Rural[[#This Row],[‫ینایر‬‏]]),"")</f>
        <v>111.73</v>
      </c>
    </row>
    <row r="121" spans="1:22" x14ac:dyDescent="0.35">
      <c r="A121" s="1">
        <v>12.5</v>
      </c>
      <c r="B121" s="1">
        <v>93.71</v>
      </c>
      <c r="C121" s="1">
        <v>105.44</v>
      </c>
      <c r="D121" s="1">
        <v>109.93</v>
      </c>
      <c r="E121" s="1">
        <v>110.28</v>
      </c>
      <c r="F121" s="1">
        <v>109.93</v>
      </c>
      <c r="G121" s="1">
        <v>110.96</v>
      </c>
      <c r="H121" s="1">
        <v>106.02</v>
      </c>
      <c r="I121" s="1">
        <v>104.76</v>
      </c>
      <c r="J121" s="1">
        <v>103.52</v>
      </c>
      <c r="K121" s="1">
        <v>103.61</v>
      </c>
      <c r="L121" s="1">
        <v>102.95</v>
      </c>
      <c r="M121" s="1">
        <v>101.38</v>
      </c>
      <c r="N121" s="1">
        <v>102.36</v>
      </c>
      <c r="O121" s="1">
        <v>99.61</v>
      </c>
      <c r="P121" t="s">
        <v>25</v>
      </c>
      <c r="Q121" t="s">
        <v>644</v>
      </c>
      <c r="R121" s="1" t="s">
        <v>526</v>
      </c>
      <c r="S121" s="1">
        <f>IFERROR(AVERAGE(Rural[[#This Row],[‫دیسمبر‬‏]]:Rural[[#This Row],[‫اكتوبر‬‏]]),"")</f>
        <v>110.04666666666667</v>
      </c>
      <c r="T121" s="1">
        <f>IFERROR(AVERAGE(Rural[[#This Row],[‫سبتمبر‬‏]]:Rural[[#This Row],[‫یولیو‬‏]]),"")</f>
        <v>107.24666666666667</v>
      </c>
      <c r="U121" s="1">
        <f>IFERROR(AVERAGE(Rural[[#This Row],[‫یونیو‬‏]]:Rural[[#This Row],[‫ابریل‬‏]]),"")</f>
        <v>103.36</v>
      </c>
      <c r="V121" s="1">
        <f>IFERROR(AVERAGE(Rural[[#This Row],[‫مارس‬‏]]:Rural[[#This Row],[‫ینایر‬‏]]),"")</f>
        <v>101.11666666666667</v>
      </c>
    </row>
    <row r="122" spans="1:22" x14ac:dyDescent="0.35">
      <c r="A122" s="1">
        <v>13.8</v>
      </c>
      <c r="B122" s="1">
        <v>176.1</v>
      </c>
      <c r="C122" s="1">
        <v>200.35</v>
      </c>
      <c r="D122" s="1">
        <v>203.2</v>
      </c>
      <c r="E122" s="1">
        <v>194.23</v>
      </c>
      <c r="F122" s="1">
        <v>194.21</v>
      </c>
      <c r="G122" s="1">
        <v>199.74</v>
      </c>
      <c r="H122" s="1">
        <v>200.81</v>
      </c>
      <c r="I122" s="1">
        <v>204.47</v>
      </c>
      <c r="J122" s="1">
        <v>206.25</v>
      </c>
      <c r="K122" s="1">
        <v>205.63</v>
      </c>
      <c r="L122" s="1">
        <v>213.63</v>
      </c>
      <c r="M122" s="1">
        <v>197.98</v>
      </c>
      <c r="N122" s="1">
        <v>192.85</v>
      </c>
      <c r="O122" s="1">
        <v>191.19</v>
      </c>
      <c r="P122" t="s">
        <v>409</v>
      </c>
      <c r="Q122" t="s">
        <v>645</v>
      </c>
      <c r="R122" s="1" t="s">
        <v>526</v>
      </c>
      <c r="S122" s="1">
        <f>IFERROR(AVERAGE(Rural[[#This Row],[‫دیسمبر‬‏]]:Rural[[#This Row],[‫اكتوبر‬‏]]),"")</f>
        <v>197.21333333333334</v>
      </c>
      <c r="T122" s="1">
        <f>IFERROR(AVERAGE(Rural[[#This Row],[‫سبتمبر‬‏]]:Rural[[#This Row],[‫یولیو‬‏]]),"")</f>
        <v>201.67333333333332</v>
      </c>
      <c r="U122" s="1">
        <f>IFERROR(AVERAGE(Rural[[#This Row],[‫یونیو‬‏]]:Rural[[#This Row],[‫ابریل‬‏]]),"")</f>
        <v>208.50333333333333</v>
      </c>
      <c r="V122" s="1">
        <f>IFERROR(AVERAGE(Rural[[#This Row],[‫مارس‬‏]]:Rural[[#This Row],[‫ینایر‬‏]]),"")</f>
        <v>194.00666666666666</v>
      </c>
    </row>
    <row r="123" spans="1:22" x14ac:dyDescent="0.35">
      <c r="A123" s="1">
        <v>10.199999999999999</v>
      </c>
      <c r="B123" s="1">
        <v>228.12</v>
      </c>
      <c r="C123" s="1">
        <v>251.33</v>
      </c>
      <c r="D123" s="1">
        <v>274</v>
      </c>
      <c r="E123" s="1">
        <v>273.60000000000002</v>
      </c>
      <c r="F123" s="1">
        <v>267.5</v>
      </c>
      <c r="G123" s="1">
        <v>244.26</v>
      </c>
      <c r="H123" s="1">
        <v>244.08</v>
      </c>
      <c r="I123" s="1">
        <v>246.42</v>
      </c>
      <c r="J123" s="1">
        <v>245.19</v>
      </c>
      <c r="K123" s="1">
        <v>252.8</v>
      </c>
      <c r="L123" s="1">
        <v>231.25</v>
      </c>
      <c r="M123" s="1">
        <v>249.08</v>
      </c>
      <c r="N123" s="1">
        <v>244.61</v>
      </c>
      <c r="O123" s="1">
        <v>243.22</v>
      </c>
      <c r="P123" t="s">
        <v>25</v>
      </c>
      <c r="Q123" t="s">
        <v>646</v>
      </c>
      <c r="R123" s="1" t="s">
        <v>526</v>
      </c>
      <c r="S123" s="1">
        <f>IFERROR(AVERAGE(Rural[[#This Row],[‫دیسمبر‬‏]]:Rural[[#This Row],[‫اكتوبر‬‏]]),"")</f>
        <v>271.7</v>
      </c>
      <c r="T123" s="1">
        <f>IFERROR(AVERAGE(Rural[[#This Row],[‫سبتمبر‬‏]]:Rural[[#This Row],[‫یولیو‬‏]]),"")</f>
        <v>244.92</v>
      </c>
      <c r="U123" s="1">
        <f>IFERROR(AVERAGE(Rural[[#This Row],[‫یونیو‬‏]]:Rural[[#This Row],[‫ابریل‬‏]]),"")</f>
        <v>243.08</v>
      </c>
      <c r="V123" s="1">
        <f>IFERROR(AVERAGE(Rural[[#This Row],[‫مارس‬‏]]:Rural[[#This Row],[‫ینایر‬‏]]),"")</f>
        <v>245.63666666666668</v>
      </c>
    </row>
    <row r="124" spans="1:22" x14ac:dyDescent="0.35">
      <c r="A124" s="1">
        <v>16.399999999999999</v>
      </c>
      <c r="B124" s="1">
        <v>96.32</v>
      </c>
      <c r="C124" s="1">
        <v>112.1</v>
      </c>
      <c r="D124" s="1">
        <v>117.49</v>
      </c>
      <c r="E124" s="1">
        <v>116.7</v>
      </c>
      <c r="F124" s="1">
        <v>116.66</v>
      </c>
      <c r="G124" s="1">
        <v>113.33</v>
      </c>
      <c r="H124" s="1">
        <v>112.44</v>
      </c>
      <c r="I124" s="1">
        <v>112.66</v>
      </c>
      <c r="J124" s="1">
        <v>112.14</v>
      </c>
      <c r="K124" s="1">
        <v>112.85</v>
      </c>
      <c r="L124" s="1">
        <v>111.41</v>
      </c>
      <c r="M124" s="1">
        <v>110.33</v>
      </c>
      <c r="N124" s="1">
        <v>105.17</v>
      </c>
      <c r="O124" s="1">
        <v>104.04</v>
      </c>
      <c r="P124" t="s">
        <v>25</v>
      </c>
      <c r="Q124" t="s">
        <v>647</v>
      </c>
      <c r="R124" s="1" t="s">
        <v>526</v>
      </c>
      <c r="S124" s="1">
        <f>IFERROR(AVERAGE(Rural[[#This Row],[‫دیسمبر‬‏]]:Rural[[#This Row],[‫اكتوبر‬‏]]),"")</f>
        <v>116.95</v>
      </c>
      <c r="T124" s="1">
        <f>IFERROR(AVERAGE(Rural[[#This Row],[‫سبتمبر‬‏]]:Rural[[#This Row],[‫یولیو‬‏]]),"")</f>
        <v>112.80999999999999</v>
      </c>
      <c r="U124" s="1">
        <f>IFERROR(AVERAGE(Rural[[#This Row],[‫یونیو‬‏]]:Rural[[#This Row],[‫ابریل‬‏]]),"")</f>
        <v>112.13333333333333</v>
      </c>
      <c r="V124" s="1">
        <f>IFERROR(AVERAGE(Rural[[#This Row],[‫مارس‬‏]]:Rural[[#This Row],[‫ینایر‬‏]]),"")</f>
        <v>106.51333333333334</v>
      </c>
    </row>
    <row r="125" spans="1:22" x14ac:dyDescent="0.35">
      <c r="A125" s="1">
        <v>19.100000000000001</v>
      </c>
      <c r="B125" s="1">
        <v>143.31</v>
      </c>
      <c r="C125" s="1">
        <v>170.64</v>
      </c>
      <c r="D125" s="1">
        <v>183.76</v>
      </c>
      <c r="E125" s="1">
        <v>183.02</v>
      </c>
      <c r="F125" s="1">
        <v>178.19</v>
      </c>
      <c r="G125" s="1">
        <v>169.65</v>
      </c>
      <c r="H125" s="1">
        <v>169.49</v>
      </c>
      <c r="I125" s="1">
        <v>170.23</v>
      </c>
      <c r="J125" s="1">
        <v>165.29</v>
      </c>
      <c r="K125" s="1">
        <v>168.3</v>
      </c>
      <c r="L125" s="1">
        <v>175.8</v>
      </c>
      <c r="M125" s="1">
        <v>163.74</v>
      </c>
      <c r="N125" s="1">
        <v>163.47999999999999</v>
      </c>
      <c r="O125" s="1">
        <v>156.72999999999999</v>
      </c>
      <c r="P125" t="s">
        <v>25</v>
      </c>
      <c r="Q125" t="s">
        <v>648</v>
      </c>
      <c r="R125" s="1" t="s">
        <v>526</v>
      </c>
      <c r="S125" s="1">
        <f>IFERROR(AVERAGE(Rural[[#This Row],[‫دیسمبر‬‏]]:Rural[[#This Row],[‫اكتوبر‬‏]]),"")</f>
        <v>181.65666666666667</v>
      </c>
      <c r="T125" s="1">
        <f>IFERROR(AVERAGE(Rural[[#This Row],[‫سبتمبر‬‏]]:Rural[[#This Row],[‫یولیو‬‏]]),"")</f>
        <v>169.79</v>
      </c>
      <c r="U125" s="1">
        <f>IFERROR(AVERAGE(Rural[[#This Row],[‫یونیو‬‏]]:Rural[[#This Row],[‫ابریل‬‏]]),"")</f>
        <v>169.79666666666668</v>
      </c>
      <c r="V125" s="1">
        <f>IFERROR(AVERAGE(Rural[[#This Row],[‫مارس‬‏]]:Rural[[#This Row],[‫ینایر‬‏]]),"")</f>
        <v>161.31666666666669</v>
      </c>
    </row>
    <row r="126" spans="1:22" x14ac:dyDescent="0.35">
      <c r="A126" s="1">
        <v>12.7</v>
      </c>
      <c r="B126" s="1">
        <v>124.39</v>
      </c>
      <c r="C126" s="1">
        <v>140.16</v>
      </c>
      <c r="D126" s="1">
        <v>143.41999999999999</v>
      </c>
      <c r="E126" s="1">
        <v>143.16</v>
      </c>
      <c r="F126" s="1">
        <v>140.6</v>
      </c>
      <c r="G126" s="1">
        <v>141.09</v>
      </c>
      <c r="H126" s="1">
        <v>140.19</v>
      </c>
      <c r="I126" s="1">
        <v>140.33000000000001</v>
      </c>
      <c r="J126" s="1">
        <v>139.96</v>
      </c>
      <c r="K126" s="1">
        <v>139.69</v>
      </c>
      <c r="L126" s="1">
        <v>136.52000000000001</v>
      </c>
      <c r="M126" s="1">
        <v>139.13999999999999</v>
      </c>
      <c r="N126" s="1">
        <v>138.75</v>
      </c>
      <c r="O126" s="1">
        <v>139.07</v>
      </c>
      <c r="P126" t="s">
        <v>25</v>
      </c>
      <c r="Q126" t="s">
        <v>649</v>
      </c>
      <c r="R126" s="1" t="s">
        <v>526</v>
      </c>
      <c r="S126" s="1">
        <f>IFERROR(AVERAGE(Rural[[#This Row],[‫دیسمبر‬‏]]:Rural[[#This Row],[‫اكتوبر‬‏]]),"")</f>
        <v>142.39333333333332</v>
      </c>
      <c r="T126" s="1">
        <f>IFERROR(AVERAGE(Rural[[#This Row],[‫سبتمبر‬‏]]:Rural[[#This Row],[‫یولیو‬‏]]),"")</f>
        <v>140.53666666666666</v>
      </c>
      <c r="U126" s="1">
        <f>IFERROR(AVERAGE(Rural[[#This Row],[‫یونیو‬‏]]:Rural[[#This Row],[‫ابریل‬‏]]),"")</f>
        <v>138.72333333333333</v>
      </c>
      <c r="V126" s="1">
        <f>IFERROR(AVERAGE(Rural[[#This Row],[‫مارس‬‏]]:Rural[[#This Row],[‫ینایر‬‏]]),"")</f>
        <v>138.98666666666665</v>
      </c>
    </row>
    <row r="127" spans="1:22" x14ac:dyDescent="0.35">
      <c r="A127" s="1">
        <v>14</v>
      </c>
      <c r="B127" s="1">
        <v>28.04</v>
      </c>
      <c r="C127" s="1">
        <v>31.97</v>
      </c>
      <c r="D127" s="1">
        <v>33.380000000000003</v>
      </c>
      <c r="E127" s="1">
        <v>32.880000000000003</v>
      </c>
      <c r="F127" s="1">
        <v>32.700000000000003</v>
      </c>
      <c r="G127" s="1">
        <v>32.28</v>
      </c>
      <c r="H127" s="1">
        <v>32.08</v>
      </c>
      <c r="I127" s="1">
        <v>32.090000000000003</v>
      </c>
      <c r="J127" s="1">
        <v>31.84</v>
      </c>
      <c r="K127" s="1">
        <v>31.78</v>
      </c>
      <c r="L127" s="1">
        <v>31.43</v>
      </c>
      <c r="M127" s="1">
        <v>31.18</v>
      </c>
      <c r="N127" s="1">
        <v>31.13</v>
      </c>
      <c r="O127" s="1">
        <v>30.91</v>
      </c>
      <c r="P127" t="s">
        <v>25</v>
      </c>
      <c r="Q127" t="s">
        <v>650</v>
      </c>
      <c r="R127" s="1" t="s">
        <v>526</v>
      </c>
      <c r="S127" s="1">
        <f>IFERROR(AVERAGE(Rural[[#This Row],[‫دیسمبر‬‏]]:Rural[[#This Row],[‫اكتوبر‬‏]]),"")</f>
        <v>32.986666666666672</v>
      </c>
      <c r="T127" s="1">
        <f>IFERROR(AVERAGE(Rural[[#This Row],[‫سبتمبر‬‏]]:Rural[[#This Row],[‫یولیو‬‏]]),"")</f>
        <v>32.15</v>
      </c>
      <c r="U127" s="1">
        <f>IFERROR(AVERAGE(Rural[[#This Row],[‫یونیو‬‏]]:Rural[[#This Row],[‫ابریل‬‏]]),"")</f>
        <v>31.683333333333337</v>
      </c>
      <c r="V127" s="1">
        <f>IFERROR(AVERAGE(Rural[[#This Row],[‫مارس‬‏]]:Rural[[#This Row],[‫ینایر‬‏]]),"")</f>
        <v>31.073333333333334</v>
      </c>
    </row>
    <row r="128" spans="1:22" x14ac:dyDescent="0.35">
      <c r="A128" s="1">
        <v>12.5</v>
      </c>
      <c r="B128" s="1">
        <v>20.170000000000002</v>
      </c>
      <c r="C128" s="1">
        <v>22.69</v>
      </c>
      <c r="D128" s="1">
        <v>23.58</v>
      </c>
      <c r="E128" s="1">
        <v>23.29</v>
      </c>
      <c r="F128" s="1">
        <v>23.15</v>
      </c>
      <c r="G128" s="1">
        <v>22.93</v>
      </c>
      <c r="H128" s="1">
        <v>22.85</v>
      </c>
      <c r="I128" s="1">
        <v>22.82</v>
      </c>
      <c r="J128" s="1">
        <v>22.68</v>
      </c>
      <c r="K128" s="1">
        <v>22.52</v>
      </c>
      <c r="L128" s="1">
        <v>22.62</v>
      </c>
      <c r="M128" s="1">
        <v>22.12</v>
      </c>
      <c r="N128" s="1">
        <v>21.98</v>
      </c>
      <c r="O128" s="1">
        <v>21.79</v>
      </c>
      <c r="P128" t="s">
        <v>651</v>
      </c>
      <c r="Q128" t="s">
        <v>652</v>
      </c>
      <c r="R128" s="1" t="s">
        <v>526</v>
      </c>
      <c r="S128" s="1">
        <f>IFERROR(AVERAGE(Rural[[#This Row],[‫دیسمبر‬‏]]:Rural[[#This Row],[‫اكتوبر‬‏]]),"")</f>
        <v>23.34</v>
      </c>
      <c r="T128" s="1">
        <f>IFERROR(AVERAGE(Rural[[#This Row],[‫سبتمبر‬‏]]:Rural[[#This Row],[‫یولیو‬‏]]),"")</f>
        <v>22.866666666666664</v>
      </c>
      <c r="U128" s="1">
        <f>IFERROR(AVERAGE(Rural[[#This Row],[‫یونیو‬‏]]:Rural[[#This Row],[‫ابریل‬‏]]),"")</f>
        <v>22.606666666666669</v>
      </c>
      <c r="V128" s="1">
        <f>IFERROR(AVERAGE(Rural[[#This Row],[‫مارس‬‏]]:Rural[[#This Row],[‫ینایر‬‏]]),"")</f>
        <v>21.963333333333335</v>
      </c>
    </row>
    <row r="129" spans="1:22" x14ac:dyDescent="0.35">
      <c r="A129" s="1">
        <v>11.7</v>
      </c>
      <c r="B129" s="1">
        <v>39.24</v>
      </c>
      <c r="C129" s="1">
        <v>43.82</v>
      </c>
      <c r="D129" s="1">
        <v>45.91</v>
      </c>
      <c r="E129" s="1">
        <v>45.23</v>
      </c>
      <c r="F129" s="1">
        <v>44.91</v>
      </c>
      <c r="G129" s="1">
        <v>44.45</v>
      </c>
      <c r="H129" s="1">
        <v>43.98</v>
      </c>
      <c r="I129" s="1">
        <v>43.81</v>
      </c>
      <c r="J129" s="1">
        <v>43.54</v>
      </c>
      <c r="K129" s="1">
        <v>43.47</v>
      </c>
      <c r="L129" s="1">
        <v>43.21</v>
      </c>
      <c r="M129" s="1">
        <v>42.64</v>
      </c>
      <c r="N129" s="1">
        <v>42.44</v>
      </c>
      <c r="O129" s="1">
        <v>42.29</v>
      </c>
      <c r="P129" t="s">
        <v>420</v>
      </c>
      <c r="Q129" t="s">
        <v>653</v>
      </c>
      <c r="R129" s="1" t="s">
        <v>526</v>
      </c>
      <c r="S129" s="1">
        <f>IFERROR(AVERAGE(Rural[[#This Row],[‫دیسمبر‬‏]]:Rural[[#This Row],[‫اكتوبر‬‏]]),"")</f>
        <v>45.349999999999994</v>
      </c>
      <c r="T129" s="1">
        <f>IFERROR(AVERAGE(Rural[[#This Row],[‫سبتمبر‬‏]]:Rural[[#This Row],[‫یولیو‬‏]]),"")</f>
        <v>44.080000000000005</v>
      </c>
      <c r="U129" s="1">
        <f>IFERROR(AVERAGE(Rural[[#This Row],[‫یونیو‬‏]]:Rural[[#This Row],[‫ابریل‬‏]]),"")</f>
        <v>43.406666666666666</v>
      </c>
      <c r="V129" s="1">
        <f>IFERROR(AVERAGE(Rural[[#This Row],[‫مارس‬‏]]:Rural[[#This Row],[‫ینایر‬‏]]),"")</f>
        <v>42.456666666666671</v>
      </c>
    </row>
    <row r="130" spans="1:22" x14ac:dyDescent="0.35">
      <c r="A130" s="1">
        <v>7.3</v>
      </c>
      <c r="B130" s="1">
        <v>91.67</v>
      </c>
      <c r="C130" s="1">
        <v>98.38</v>
      </c>
      <c r="D130" s="1">
        <v>99.57</v>
      </c>
      <c r="E130" s="1">
        <v>99.8</v>
      </c>
      <c r="F130" s="1">
        <v>100.03</v>
      </c>
      <c r="G130" s="1">
        <v>99.17</v>
      </c>
      <c r="H130" s="1">
        <v>98.46</v>
      </c>
      <c r="I130" s="1">
        <v>97.97</v>
      </c>
      <c r="J130" s="1">
        <v>97.47</v>
      </c>
      <c r="K130" s="1">
        <v>97.32</v>
      </c>
      <c r="L130" s="1">
        <v>95.36</v>
      </c>
      <c r="M130" s="1">
        <v>99.43</v>
      </c>
      <c r="N130" s="1">
        <v>99.22</v>
      </c>
      <c r="O130" s="1">
        <v>96.79</v>
      </c>
      <c r="P130" t="s">
        <v>359</v>
      </c>
      <c r="Q130" t="s">
        <v>654</v>
      </c>
      <c r="R130" s="1" t="s">
        <v>526</v>
      </c>
      <c r="S130" s="1">
        <f>IFERROR(AVERAGE(Rural[[#This Row],[‫دیسمبر‬‏]]:Rural[[#This Row],[‫اكتوبر‬‏]]),"")</f>
        <v>99.8</v>
      </c>
      <c r="T130" s="1">
        <f>IFERROR(AVERAGE(Rural[[#This Row],[‫سبتمبر‬‏]]:Rural[[#This Row],[‫یولیو‬‏]]),"")</f>
        <v>98.533333333333346</v>
      </c>
      <c r="U130" s="1">
        <f>IFERROR(AVERAGE(Rural[[#This Row],[‫یونیو‬‏]]:Rural[[#This Row],[‫ابریل‬‏]]),"")</f>
        <v>96.716666666666654</v>
      </c>
      <c r="V130" s="1">
        <f>IFERROR(AVERAGE(Rural[[#This Row],[‫مارس‬‏]]:Rural[[#This Row],[‫ینایر‬‏]]),"")</f>
        <v>98.48</v>
      </c>
    </row>
    <row r="131" spans="1:22" x14ac:dyDescent="0.35">
      <c r="A131" s="1">
        <v>7.8</v>
      </c>
      <c r="B131" s="1">
        <v>158.21</v>
      </c>
      <c r="C131" s="1">
        <v>170.49</v>
      </c>
      <c r="D131" s="1">
        <v>174.05</v>
      </c>
      <c r="E131" s="1">
        <v>172.29</v>
      </c>
      <c r="F131" s="1">
        <v>171.83</v>
      </c>
      <c r="G131" s="1">
        <v>170.7</v>
      </c>
      <c r="H131" s="1">
        <v>170.4</v>
      </c>
      <c r="I131" s="1">
        <v>170.16</v>
      </c>
      <c r="J131" s="1">
        <v>169.4</v>
      </c>
      <c r="K131" s="1">
        <v>168.33</v>
      </c>
      <c r="L131" s="1">
        <v>170.56</v>
      </c>
      <c r="M131" s="1">
        <v>170.92</v>
      </c>
      <c r="N131" s="1">
        <v>169.85</v>
      </c>
      <c r="O131" s="1">
        <v>167.42</v>
      </c>
      <c r="P131" t="s">
        <v>361</v>
      </c>
      <c r="Q131" t="s">
        <v>655</v>
      </c>
      <c r="R131" s="1" t="s">
        <v>526</v>
      </c>
      <c r="S131" s="1">
        <f>IFERROR(AVERAGE(Rural[[#This Row],[‫دیسمبر‬‏]]:Rural[[#This Row],[‫اكتوبر‬‏]]),"")</f>
        <v>172.72333333333336</v>
      </c>
      <c r="T131" s="1">
        <f>IFERROR(AVERAGE(Rural[[#This Row],[‫سبتمبر‬‏]]:Rural[[#This Row],[‫یولیو‬‏]]),"")</f>
        <v>170.42</v>
      </c>
      <c r="U131" s="1">
        <f>IFERROR(AVERAGE(Rural[[#This Row],[‫یونیو‬‏]]:Rural[[#This Row],[‫ابریل‬‏]]),"")</f>
        <v>169.43</v>
      </c>
      <c r="V131" s="1">
        <f>IFERROR(AVERAGE(Rural[[#This Row],[‫مارس‬‏]]:Rural[[#This Row],[‫ینایر‬‏]]),"")</f>
        <v>169.39666666666665</v>
      </c>
    </row>
    <row r="132" spans="1:22" x14ac:dyDescent="0.35">
      <c r="A132" s="1">
        <v>9.1999999999999993</v>
      </c>
      <c r="B132" s="1">
        <v>186.81</v>
      </c>
      <c r="C132" s="1">
        <v>204.06</v>
      </c>
      <c r="D132" s="1">
        <v>205.58</v>
      </c>
      <c r="E132" s="1">
        <v>206.19</v>
      </c>
      <c r="F132" s="1">
        <v>206.15</v>
      </c>
      <c r="G132" s="1">
        <v>205.26</v>
      </c>
      <c r="H132" s="1">
        <v>204.57</v>
      </c>
      <c r="I132" s="1">
        <v>204.3</v>
      </c>
      <c r="J132" s="1">
        <v>202.28</v>
      </c>
      <c r="K132" s="1">
        <v>202.13</v>
      </c>
      <c r="L132" s="1">
        <v>197.51</v>
      </c>
      <c r="M132" s="1">
        <v>206.11</v>
      </c>
      <c r="N132" s="1">
        <v>205.51</v>
      </c>
      <c r="O132" s="1">
        <v>203.16</v>
      </c>
      <c r="P132" t="s">
        <v>363</v>
      </c>
      <c r="Q132" t="s">
        <v>656</v>
      </c>
      <c r="R132" s="1" t="s">
        <v>526</v>
      </c>
      <c r="S132" s="1">
        <f>IFERROR(AVERAGE(Rural[[#This Row],[‫دیسمبر‬‏]]:Rural[[#This Row],[‫اكتوبر‬‏]]),"")</f>
        <v>205.97333333333333</v>
      </c>
      <c r="T132" s="1">
        <f>IFERROR(AVERAGE(Rural[[#This Row],[‫سبتمبر‬‏]]:Rural[[#This Row],[‫یولیو‬‏]]),"")</f>
        <v>204.71</v>
      </c>
      <c r="U132" s="1">
        <f>IFERROR(AVERAGE(Rural[[#This Row],[‫یونیو‬‏]]:Rural[[#This Row],[‫ابریل‬‏]]),"")</f>
        <v>200.64</v>
      </c>
      <c r="V132" s="1">
        <f>IFERROR(AVERAGE(Rural[[#This Row],[‫مارس‬‏]]:Rural[[#This Row],[‫ینایر‬‏]]),"")</f>
        <v>204.92666666666665</v>
      </c>
    </row>
    <row r="133" spans="1:22" x14ac:dyDescent="0.35">
      <c r="A133" s="1">
        <v>10.9</v>
      </c>
      <c r="B133" s="1">
        <v>188.24</v>
      </c>
      <c r="C133" s="1">
        <v>208.75</v>
      </c>
      <c r="D133" s="1">
        <v>208.53</v>
      </c>
      <c r="E133" s="1">
        <v>210.08</v>
      </c>
      <c r="F133" s="1">
        <v>209.54</v>
      </c>
      <c r="G133" s="1">
        <v>208.29</v>
      </c>
      <c r="H133" s="1">
        <v>207.74</v>
      </c>
      <c r="I133" s="1">
        <v>207.59</v>
      </c>
      <c r="J133" s="1">
        <v>205.35</v>
      </c>
      <c r="K133" s="1">
        <v>205.95</v>
      </c>
      <c r="L133" s="1">
        <v>214.19</v>
      </c>
      <c r="M133" s="1">
        <v>209.52</v>
      </c>
      <c r="N133" s="1">
        <v>209.23</v>
      </c>
      <c r="O133" s="1">
        <v>209.01</v>
      </c>
      <c r="P133" t="s">
        <v>363</v>
      </c>
      <c r="Q133" t="s">
        <v>657</v>
      </c>
      <c r="R133" s="1" t="s">
        <v>526</v>
      </c>
      <c r="S133" s="1">
        <f>IFERROR(AVERAGE(Rural[[#This Row],[‫دیسمبر‬‏]]:Rural[[#This Row],[‫اكتوبر‬‏]]),"")</f>
        <v>209.38333333333333</v>
      </c>
      <c r="T133" s="1">
        <f>IFERROR(AVERAGE(Rural[[#This Row],[‫سبتمبر‬‏]]:Rural[[#This Row],[‫یولیو‬‏]]),"")</f>
        <v>207.87333333333333</v>
      </c>
      <c r="U133" s="1">
        <f>IFERROR(AVERAGE(Rural[[#This Row],[‫یونیو‬‏]]:Rural[[#This Row],[‫ابریل‬‏]]),"")</f>
        <v>208.49666666666667</v>
      </c>
      <c r="V133" s="1">
        <f>IFERROR(AVERAGE(Rural[[#This Row],[‫مارس‬‏]]:Rural[[#This Row],[‫ینایر‬‏]]),"")</f>
        <v>209.25333333333333</v>
      </c>
    </row>
    <row r="134" spans="1:22" x14ac:dyDescent="0.35">
      <c r="A134" s="1">
        <v>11.6</v>
      </c>
      <c r="B134" s="1">
        <v>17.89</v>
      </c>
      <c r="C134" s="1">
        <v>19.96</v>
      </c>
      <c r="D134" s="1">
        <v>20.46</v>
      </c>
      <c r="E134" s="1">
        <v>20.440000000000001</v>
      </c>
      <c r="F134" s="1">
        <v>20.43</v>
      </c>
      <c r="G134" s="1">
        <v>20.25</v>
      </c>
      <c r="H134" s="1">
        <v>20.11</v>
      </c>
      <c r="I134" s="1">
        <v>20.05</v>
      </c>
      <c r="J134" s="1">
        <v>20.010000000000002</v>
      </c>
      <c r="K134" s="1">
        <v>19.88</v>
      </c>
      <c r="L134" s="1">
        <v>20.51</v>
      </c>
      <c r="M134" s="1">
        <v>19.18</v>
      </c>
      <c r="N134" s="1">
        <v>19.18</v>
      </c>
      <c r="O134" s="1">
        <v>19.07</v>
      </c>
      <c r="P134" t="s">
        <v>213</v>
      </c>
      <c r="Q134" t="s">
        <v>658</v>
      </c>
      <c r="R134" s="1" t="s">
        <v>526</v>
      </c>
      <c r="S134" s="1">
        <f>IFERROR(AVERAGE(Rural[[#This Row],[‫دیسمبر‬‏]]:Rural[[#This Row],[‫اكتوبر‬‏]]),"")</f>
        <v>20.443333333333335</v>
      </c>
      <c r="T134" s="1">
        <f>IFERROR(AVERAGE(Rural[[#This Row],[‫سبتمبر‬‏]]:Rural[[#This Row],[‫یولیو‬‏]]),"")</f>
        <v>20.136666666666667</v>
      </c>
      <c r="U134" s="1">
        <f>IFERROR(AVERAGE(Rural[[#This Row],[‫یونیو‬‏]]:Rural[[#This Row],[‫ابریل‬‏]]),"")</f>
        <v>20.133333333333336</v>
      </c>
      <c r="V134" s="1">
        <f>IFERROR(AVERAGE(Rural[[#This Row],[‫مارس‬‏]]:Rural[[#This Row],[‫ینایر‬‏]]),"")</f>
        <v>19.143333333333334</v>
      </c>
    </row>
    <row r="135" spans="1:22" x14ac:dyDescent="0.35">
      <c r="A135" s="1">
        <v>6.6</v>
      </c>
      <c r="B135" s="1">
        <v>45.91</v>
      </c>
      <c r="C135" s="1">
        <v>48.93</v>
      </c>
      <c r="D135" s="1">
        <v>51.75</v>
      </c>
      <c r="E135" s="1">
        <v>50.57</v>
      </c>
      <c r="F135" s="1">
        <v>50.41</v>
      </c>
      <c r="G135" s="1">
        <v>49.23</v>
      </c>
      <c r="H135" s="1">
        <v>49.23</v>
      </c>
      <c r="I135" s="1">
        <v>48.61</v>
      </c>
      <c r="J135" s="1">
        <v>48.48</v>
      </c>
      <c r="K135" s="1">
        <v>48.48</v>
      </c>
      <c r="L135" s="1">
        <v>45.65</v>
      </c>
      <c r="M135" s="1">
        <v>48.42</v>
      </c>
      <c r="N135" s="1">
        <v>48.42</v>
      </c>
      <c r="O135" s="1">
        <v>47.96</v>
      </c>
      <c r="P135" t="s">
        <v>366</v>
      </c>
      <c r="Q135" t="s">
        <v>659</v>
      </c>
      <c r="R135" s="1" t="s">
        <v>526</v>
      </c>
      <c r="S135" s="1">
        <f>IFERROR(AVERAGE(Rural[[#This Row],[‫دیسمبر‬‏]]:Rural[[#This Row],[‫اكتوبر‬‏]]),"")</f>
        <v>50.91</v>
      </c>
      <c r="T135" s="1">
        <f>IFERROR(AVERAGE(Rural[[#This Row],[‫سبتمبر‬‏]]:Rural[[#This Row],[‫یولیو‬‏]]),"")</f>
        <v>49.023333333333333</v>
      </c>
      <c r="U135" s="1">
        <f>IFERROR(AVERAGE(Rural[[#This Row],[‫یونیو‬‏]]:Rural[[#This Row],[‫ابریل‬‏]]),"")</f>
        <v>47.536666666666662</v>
      </c>
      <c r="V135" s="1">
        <f>IFERROR(AVERAGE(Rural[[#This Row],[‫مارس‬‏]]:Rural[[#This Row],[‫ینایر‬‏]]),"")</f>
        <v>48.266666666666673</v>
      </c>
    </row>
    <row r="136" spans="1:22" x14ac:dyDescent="0.35">
      <c r="A136" s="1">
        <v>11.3</v>
      </c>
      <c r="B136" s="1">
        <v>96.76</v>
      </c>
      <c r="C136" s="1">
        <v>107.7</v>
      </c>
      <c r="D136" s="1">
        <v>110.38</v>
      </c>
      <c r="E136" s="1">
        <v>110.27</v>
      </c>
      <c r="F136" s="1">
        <v>109.07</v>
      </c>
      <c r="G136" s="1">
        <v>108.56</v>
      </c>
      <c r="H136" s="1">
        <v>108.56</v>
      </c>
      <c r="I136" s="1">
        <v>107.95</v>
      </c>
      <c r="J136" s="1">
        <v>107.2</v>
      </c>
      <c r="K136" s="1">
        <v>107.19</v>
      </c>
      <c r="L136" s="1">
        <v>107.87</v>
      </c>
      <c r="M136" s="1">
        <v>106.36</v>
      </c>
      <c r="N136" s="1">
        <v>104.53</v>
      </c>
      <c r="O136" s="1">
        <v>104.39</v>
      </c>
      <c r="P136" t="s">
        <v>25</v>
      </c>
      <c r="Q136" t="s">
        <v>660</v>
      </c>
      <c r="R136" s="1" t="s">
        <v>526</v>
      </c>
      <c r="S136" s="1">
        <f>IFERROR(AVERAGE(Rural[[#This Row],[‫دیسمبر‬‏]]:Rural[[#This Row],[‫اكتوبر‬‏]]),"")</f>
        <v>109.90666666666665</v>
      </c>
      <c r="T136" s="1">
        <f>IFERROR(AVERAGE(Rural[[#This Row],[‫سبتمبر‬‏]]:Rural[[#This Row],[‫یولیو‬‏]]),"")</f>
        <v>108.35666666666667</v>
      </c>
      <c r="U136" s="1">
        <f>IFERROR(AVERAGE(Rural[[#This Row],[‫یونیو‬‏]]:Rural[[#This Row],[‫ابریل‬‏]]),"")</f>
        <v>107.42</v>
      </c>
      <c r="V136" s="1">
        <f>IFERROR(AVERAGE(Rural[[#This Row],[‫مارس‬‏]]:Rural[[#This Row],[‫ینایر‬‏]]),"")</f>
        <v>105.09333333333332</v>
      </c>
    </row>
    <row r="137" spans="1:22" x14ac:dyDescent="0.35">
      <c r="A137" s="1">
        <v>11.2</v>
      </c>
      <c r="B137" s="1">
        <v>137.38999999999999</v>
      </c>
      <c r="C137" s="1">
        <v>152.72999999999999</v>
      </c>
      <c r="D137" s="1">
        <v>156.80000000000001</v>
      </c>
      <c r="E137" s="1">
        <v>156.91</v>
      </c>
      <c r="F137" s="1">
        <v>155</v>
      </c>
      <c r="G137" s="1">
        <v>154.59</v>
      </c>
      <c r="H137" s="1">
        <v>154.59</v>
      </c>
      <c r="I137" s="1">
        <v>153.66</v>
      </c>
      <c r="J137" s="1">
        <v>152.37</v>
      </c>
      <c r="K137" s="1">
        <v>152.28</v>
      </c>
      <c r="L137" s="1">
        <v>148.08000000000001</v>
      </c>
      <c r="M137" s="1">
        <v>150.94999999999999</v>
      </c>
      <c r="N137" s="1">
        <v>148.87</v>
      </c>
      <c r="O137" s="1">
        <v>148.62</v>
      </c>
      <c r="P137" t="s">
        <v>25</v>
      </c>
      <c r="Q137" t="s">
        <v>661</v>
      </c>
      <c r="R137" s="1" t="s">
        <v>526</v>
      </c>
      <c r="S137" s="1">
        <f>IFERROR(AVERAGE(Rural[[#This Row],[‫دیسمبر‬‏]]:Rural[[#This Row],[‫اكتوبر‬‏]]),"")</f>
        <v>156.23666666666668</v>
      </c>
      <c r="T137" s="1">
        <f>IFERROR(AVERAGE(Rural[[#This Row],[‫سبتمبر‬‏]]:Rural[[#This Row],[‫یولیو‬‏]]),"")</f>
        <v>154.28</v>
      </c>
      <c r="U137" s="1">
        <f>IFERROR(AVERAGE(Rural[[#This Row],[‫یونیو‬‏]]:Rural[[#This Row],[‫ابریل‬‏]]),"")</f>
        <v>150.91</v>
      </c>
      <c r="V137" s="1">
        <f>IFERROR(AVERAGE(Rural[[#This Row],[‫مارس‬‏]]:Rural[[#This Row],[‫ینایر‬‏]]),"")</f>
        <v>149.47999999999999</v>
      </c>
    </row>
    <row r="138" spans="1:22" x14ac:dyDescent="0.35">
      <c r="A138" s="1">
        <v>11</v>
      </c>
      <c r="B138" s="1">
        <v>234.69</v>
      </c>
      <c r="C138" s="1">
        <v>260.52999999999997</v>
      </c>
      <c r="D138" s="1">
        <v>262.98</v>
      </c>
      <c r="E138" s="1">
        <v>262.77</v>
      </c>
      <c r="F138" s="1">
        <v>261.49</v>
      </c>
      <c r="G138" s="1">
        <v>261.17</v>
      </c>
      <c r="H138" s="1">
        <v>260.95999999999998</v>
      </c>
      <c r="I138" s="1">
        <v>261.47000000000003</v>
      </c>
      <c r="J138" s="1">
        <v>261.13</v>
      </c>
      <c r="K138" s="1">
        <v>260.43</v>
      </c>
      <c r="L138" s="1">
        <v>257.98</v>
      </c>
      <c r="M138" s="1">
        <v>260.62</v>
      </c>
      <c r="N138" s="1">
        <v>258.02</v>
      </c>
      <c r="O138" s="1">
        <v>257.32</v>
      </c>
      <c r="P138" t="s">
        <v>25</v>
      </c>
      <c r="Q138" t="s">
        <v>662</v>
      </c>
      <c r="R138" s="1" t="s">
        <v>526</v>
      </c>
      <c r="S138" s="1">
        <f>IFERROR(AVERAGE(Rural[[#This Row],[‫دیسمبر‬‏]]:Rural[[#This Row],[‫اكتوبر‬‏]]),"")</f>
        <v>262.41333333333336</v>
      </c>
      <c r="T138" s="1">
        <f>IFERROR(AVERAGE(Rural[[#This Row],[‫سبتمبر‬‏]]:Rural[[#This Row],[‫یولیو‬‏]]),"")</f>
        <v>261.2</v>
      </c>
      <c r="U138" s="1">
        <f>IFERROR(AVERAGE(Rural[[#This Row],[‫یونیو‬‏]]:Rural[[#This Row],[‫ابریل‬‏]]),"")</f>
        <v>259.84666666666664</v>
      </c>
      <c r="V138" s="1">
        <f>IFERROR(AVERAGE(Rural[[#This Row],[‫مارس‬‏]]:Rural[[#This Row],[‫ینایر‬‏]]),"")</f>
        <v>258.65333333333336</v>
      </c>
    </row>
    <row r="139" spans="1:22" x14ac:dyDescent="0.35">
      <c r="A139" s="1">
        <v>10.9</v>
      </c>
      <c r="B139" s="1">
        <v>205.23</v>
      </c>
      <c r="C139" s="1">
        <v>227.57</v>
      </c>
      <c r="D139" s="1">
        <v>230.03</v>
      </c>
      <c r="E139" s="1">
        <v>229.49</v>
      </c>
      <c r="F139" s="1">
        <v>228.69</v>
      </c>
      <c r="G139" s="1">
        <v>228.13</v>
      </c>
      <c r="H139" s="1">
        <v>227.67</v>
      </c>
      <c r="I139" s="1">
        <v>227.36</v>
      </c>
      <c r="J139" s="1">
        <v>227.11</v>
      </c>
      <c r="K139" s="1">
        <v>226.5</v>
      </c>
      <c r="L139" s="1">
        <v>227.35</v>
      </c>
      <c r="M139" s="1">
        <v>227.57</v>
      </c>
      <c r="N139" s="1">
        <v>226.08</v>
      </c>
      <c r="O139" s="1">
        <v>224.85</v>
      </c>
      <c r="P139" t="s">
        <v>25</v>
      </c>
      <c r="Q139" t="s">
        <v>663</v>
      </c>
      <c r="R139" s="1" t="s">
        <v>526</v>
      </c>
      <c r="S139" s="1">
        <f>IFERROR(AVERAGE(Rural[[#This Row],[‫دیسمبر‬‏]]:Rural[[#This Row],[‫اكتوبر‬‏]]),"")</f>
        <v>229.40333333333334</v>
      </c>
      <c r="T139" s="1">
        <f>IFERROR(AVERAGE(Rural[[#This Row],[‫سبتمبر‬‏]]:Rural[[#This Row],[‫یولیو‬‏]]),"")</f>
        <v>227.72</v>
      </c>
      <c r="U139" s="1">
        <f>IFERROR(AVERAGE(Rural[[#This Row],[‫یونیو‬‏]]:Rural[[#This Row],[‫ابریل‬‏]]),"")</f>
        <v>226.98666666666668</v>
      </c>
      <c r="V139" s="1">
        <f>IFERROR(AVERAGE(Rural[[#This Row],[‫مارس‬‏]]:Rural[[#This Row],[‫ینایر‬‏]]),"")</f>
        <v>226.16666666666666</v>
      </c>
    </row>
    <row r="140" spans="1:22" x14ac:dyDescent="0.35">
      <c r="A140" s="1">
        <v>11.1</v>
      </c>
      <c r="B140" s="1">
        <v>66.11</v>
      </c>
      <c r="C140" s="1">
        <v>73.459999999999994</v>
      </c>
      <c r="D140" s="1">
        <v>74.55</v>
      </c>
      <c r="E140" s="1">
        <v>74.87</v>
      </c>
      <c r="F140" s="1">
        <v>74.84</v>
      </c>
      <c r="G140" s="1">
        <v>74.63</v>
      </c>
      <c r="H140" s="1">
        <v>74.52</v>
      </c>
      <c r="I140" s="1">
        <v>74.23</v>
      </c>
      <c r="J140" s="1">
        <v>72.260000000000005</v>
      </c>
      <c r="K140" s="1">
        <v>72.260000000000005</v>
      </c>
      <c r="L140" s="1">
        <v>71.78</v>
      </c>
      <c r="M140" s="1">
        <v>73.09</v>
      </c>
      <c r="N140" s="1">
        <v>72.319999999999993</v>
      </c>
      <c r="O140" s="1">
        <v>72.209999999999994</v>
      </c>
      <c r="P140" t="s">
        <v>25</v>
      </c>
      <c r="Q140" t="s">
        <v>664</v>
      </c>
      <c r="R140" s="1" t="s">
        <v>526</v>
      </c>
      <c r="S140" s="1">
        <f>IFERROR(AVERAGE(Rural[[#This Row],[‫دیسمبر‬‏]]:Rural[[#This Row],[‫اكتوبر‬‏]]),"")</f>
        <v>74.753333333333345</v>
      </c>
      <c r="T140" s="1">
        <f>IFERROR(AVERAGE(Rural[[#This Row],[‫سبتمبر‬‏]]:Rural[[#This Row],[‫یولیو‬‏]]),"")</f>
        <v>74.459999999999994</v>
      </c>
      <c r="U140" s="1">
        <f>IFERROR(AVERAGE(Rural[[#This Row],[‫یونیو‬‏]]:Rural[[#This Row],[‫ابریل‬‏]]),"")</f>
        <v>72.100000000000009</v>
      </c>
      <c r="V140" s="1">
        <f>IFERROR(AVERAGE(Rural[[#This Row],[‫مارس‬‏]]:Rural[[#This Row],[‫ینایر‬‏]]),"")</f>
        <v>72.540000000000006</v>
      </c>
    </row>
    <row r="141" spans="1:22" x14ac:dyDescent="0.35">
      <c r="A141" s="1">
        <v>12.3</v>
      </c>
      <c r="B141" s="1">
        <v>96.34</v>
      </c>
      <c r="C141" s="1">
        <v>108.23</v>
      </c>
      <c r="D141" s="1">
        <v>111.23</v>
      </c>
      <c r="E141" s="1">
        <v>111.74</v>
      </c>
      <c r="F141" s="1">
        <v>111.14</v>
      </c>
      <c r="G141" s="1">
        <v>109.7</v>
      </c>
      <c r="H141" s="1">
        <v>109.79</v>
      </c>
      <c r="I141" s="1">
        <v>107.91</v>
      </c>
      <c r="J141" s="1">
        <v>106.9</v>
      </c>
      <c r="K141" s="1">
        <v>106.33</v>
      </c>
      <c r="L141" s="1">
        <v>106.42</v>
      </c>
      <c r="M141" s="1">
        <v>106.21</v>
      </c>
      <c r="N141" s="1">
        <v>105.42</v>
      </c>
      <c r="O141" s="1">
        <v>105.95</v>
      </c>
      <c r="P141" t="s">
        <v>25</v>
      </c>
      <c r="Q141" t="s">
        <v>665</v>
      </c>
      <c r="R141" s="1" t="s">
        <v>526</v>
      </c>
      <c r="S141" s="1">
        <f>IFERROR(AVERAGE(Rural[[#This Row],[‫دیسمبر‬‏]]:Rural[[#This Row],[‫اكتوبر‬‏]]),"")</f>
        <v>111.37</v>
      </c>
      <c r="T141" s="1">
        <f>IFERROR(AVERAGE(Rural[[#This Row],[‫سبتمبر‬‏]]:Rural[[#This Row],[‫یولیو‬‏]]),"")</f>
        <v>109.13333333333333</v>
      </c>
      <c r="U141" s="1">
        <f>IFERROR(AVERAGE(Rural[[#This Row],[‫یونیو‬‏]]:Rural[[#This Row],[‫ابریل‬‏]]),"")</f>
        <v>106.55000000000001</v>
      </c>
      <c r="V141" s="1">
        <f>IFERROR(AVERAGE(Rural[[#This Row],[‫مارس‬‏]]:Rural[[#This Row],[‫ینایر‬‏]]),"")</f>
        <v>105.86</v>
      </c>
    </row>
    <row r="142" spans="1:22" x14ac:dyDescent="0.35">
      <c r="A142" s="1">
        <v>7.6</v>
      </c>
      <c r="B142" s="1">
        <v>37.9</v>
      </c>
      <c r="C142" s="1">
        <v>40.799999999999997</v>
      </c>
      <c r="D142" s="1">
        <v>41.64</v>
      </c>
      <c r="E142" s="1">
        <v>41.63</v>
      </c>
      <c r="F142" s="1">
        <v>41.37</v>
      </c>
      <c r="G142" s="1">
        <v>41.37</v>
      </c>
      <c r="H142" s="1">
        <v>41.37</v>
      </c>
      <c r="I142" s="1">
        <v>40.950000000000003</v>
      </c>
      <c r="J142" s="1">
        <v>40.54</v>
      </c>
      <c r="K142" s="1">
        <v>40.56</v>
      </c>
      <c r="L142" s="1">
        <v>39.51</v>
      </c>
      <c r="M142" s="1">
        <v>40.380000000000003</v>
      </c>
      <c r="N142" s="1">
        <v>40.26</v>
      </c>
      <c r="O142" s="1">
        <v>39.979999999999997</v>
      </c>
      <c r="P142" t="s">
        <v>373</v>
      </c>
      <c r="Q142" t="s">
        <v>666</v>
      </c>
      <c r="R142" s="1" t="s">
        <v>526</v>
      </c>
      <c r="S142" s="1">
        <f>IFERROR(AVERAGE(Rural[[#This Row],[‫دیسمبر‬‏]]:Rural[[#This Row],[‫اكتوبر‬‏]]),"")</f>
        <v>41.546666666666674</v>
      </c>
      <c r="T142" s="1">
        <f>IFERROR(AVERAGE(Rural[[#This Row],[‫سبتمبر‬‏]]:Rural[[#This Row],[‫یولیو‬‏]]),"")</f>
        <v>41.23</v>
      </c>
      <c r="U142" s="1">
        <f>IFERROR(AVERAGE(Rural[[#This Row],[‫یونیو‬‏]]:Rural[[#This Row],[‫ابریل‬‏]]),"")</f>
        <v>40.203333333333326</v>
      </c>
      <c r="V142" s="1">
        <f>IFERROR(AVERAGE(Rural[[#This Row],[‫مارس‬‏]]:Rural[[#This Row],[‫ینایر‬‏]]),"")</f>
        <v>40.206666666666671</v>
      </c>
    </row>
    <row r="143" spans="1:22" x14ac:dyDescent="0.35">
      <c r="A143" s="1">
        <v>15</v>
      </c>
      <c r="B143" s="1">
        <v>337.73</v>
      </c>
      <c r="C143" s="1">
        <v>388.48</v>
      </c>
      <c r="D143" s="1">
        <v>404.1</v>
      </c>
      <c r="E143" s="1">
        <v>404.71</v>
      </c>
      <c r="F143" s="1">
        <v>396.06</v>
      </c>
      <c r="G143" s="1">
        <v>394.7</v>
      </c>
      <c r="H143" s="1">
        <v>394.7</v>
      </c>
      <c r="I143" s="1">
        <v>388.93</v>
      </c>
      <c r="J143" s="1">
        <v>384.43</v>
      </c>
      <c r="K143" s="1">
        <v>382.39</v>
      </c>
      <c r="L143" s="1">
        <v>378.42</v>
      </c>
      <c r="M143" s="1">
        <v>380.48</v>
      </c>
      <c r="N143" s="1">
        <v>376.92</v>
      </c>
      <c r="O143" s="1">
        <v>375.88</v>
      </c>
      <c r="P143" t="s">
        <v>25</v>
      </c>
      <c r="Q143" t="s">
        <v>667</v>
      </c>
      <c r="R143" s="1" t="s">
        <v>526</v>
      </c>
      <c r="S143" s="1">
        <f>IFERROR(AVERAGE(Rural[[#This Row],[‫دیسمبر‬‏]]:Rural[[#This Row],[‫اكتوبر‬‏]]),"")</f>
        <v>401.62333333333328</v>
      </c>
      <c r="T143" s="1">
        <f>IFERROR(AVERAGE(Rural[[#This Row],[‫سبتمبر‬‏]]:Rural[[#This Row],[‫یولیو‬‏]]),"")</f>
        <v>392.77666666666664</v>
      </c>
      <c r="U143" s="1">
        <f>IFERROR(AVERAGE(Rural[[#This Row],[‫یونیو‬‏]]:Rural[[#This Row],[‫ابریل‬‏]]),"")</f>
        <v>381.74666666666667</v>
      </c>
      <c r="V143" s="1">
        <f>IFERROR(AVERAGE(Rural[[#This Row],[‫مارس‬‏]]:Rural[[#This Row],[‫ینایر‬‏]]),"")</f>
        <v>377.76000000000005</v>
      </c>
    </row>
    <row r="144" spans="1:22" x14ac:dyDescent="0.35">
      <c r="A144" s="1">
        <v>19</v>
      </c>
      <c r="B144" s="1">
        <v>49.9</v>
      </c>
      <c r="C144" s="1">
        <v>59.36</v>
      </c>
      <c r="D144" s="1">
        <v>61.61</v>
      </c>
      <c r="E144" s="1">
        <v>61</v>
      </c>
      <c r="F144" s="1">
        <v>60.79</v>
      </c>
      <c r="G144" s="1">
        <v>60.74</v>
      </c>
      <c r="H144" s="1">
        <v>60.74</v>
      </c>
      <c r="I144" s="1">
        <v>59.75</v>
      </c>
      <c r="J144" s="1">
        <v>58.83</v>
      </c>
      <c r="K144" s="1">
        <v>58.52</v>
      </c>
      <c r="L144" s="1">
        <v>60.42</v>
      </c>
      <c r="M144" s="1">
        <v>56.71</v>
      </c>
      <c r="N144" s="1">
        <v>56.6</v>
      </c>
      <c r="O144" s="1">
        <v>56.59</v>
      </c>
      <c r="P144" t="s">
        <v>376</v>
      </c>
      <c r="Q144" t="s">
        <v>668</v>
      </c>
      <c r="R144" s="1" t="s">
        <v>526</v>
      </c>
      <c r="S144" s="1">
        <f>IFERROR(AVERAGE(Rural[[#This Row],[‫دیسمبر‬‏]]:Rural[[#This Row],[‫اكتوبر‬‏]]),"")</f>
        <v>61.133333333333333</v>
      </c>
      <c r="T144" s="1">
        <f>IFERROR(AVERAGE(Rural[[#This Row],[‫سبتمبر‬‏]]:Rural[[#This Row],[‫یولیو‬‏]]),"")</f>
        <v>60.410000000000004</v>
      </c>
      <c r="U144" s="1">
        <f>IFERROR(AVERAGE(Rural[[#This Row],[‫یونیو‬‏]]:Rural[[#This Row],[‫ابریل‬‏]]),"")</f>
        <v>59.256666666666661</v>
      </c>
      <c r="V144" s="1">
        <f>IFERROR(AVERAGE(Rural[[#This Row],[‫مارس‬‏]]:Rural[[#This Row],[‫ینایر‬‏]]),"")</f>
        <v>56.633333333333333</v>
      </c>
    </row>
    <row r="145" spans="1:22" x14ac:dyDescent="0.35">
      <c r="A145" s="1">
        <v>15.4</v>
      </c>
      <c r="B145" s="1">
        <v>48.56</v>
      </c>
      <c r="C145" s="1">
        <v>56.04</v>
      </c>
      <c r="D145" s="1">
        <v>57.49</v>
      </c>
      <c r="E145" s="1">
        <v>57.23</v>
      </c>
      <c r="F145" s="1">
        <v>57.17</v>
      </c>
      <c r="G145" s="1">
        <v>57.12</v>
      </c>
      <c r="H145" s="1">
        <v>57.12</v>
      </c>
      <c r="I145" s="1">
        <v>56.55</v>
      </c>
      <c r="J145" s="1">
        <v>55.42</v>
      </c>
      <c r="K145" s="1">
        <v>55.37</v>
      </c>
      <c r="L145" s="1">
        <v>55.74</v>
      </c>
      <c r="M145" s="1">
        <v>54.44</v>
      </c>
      <c r="N145" s="1">
        <v>54.39</v>
      </c>
      <c r="O145" s="1">
        <v>54.39</v>
      </c>
      <c r="P145" t="s">
        <v>267</v>
      </c>
      <c r="Q145" t="s">
        <v>669</v>
      </c>
      <c r="R145" s="1" t="s">
        <v>526</v>
      </c>
      <c r="S145" s="1">
        <f>IFERROR(AVERAGE(Rural[[#This Row],[‫دیسمبر‬‏]]:Rural[[#This Row],[‫اكتوبر‬‏]]),"")</f>
        <v>57.29666666666666</v>
      </c>
      <c r="T145" s="1">
        <f>IFERROR(AVERAGE(Rural[[#This Row],[‫سبتمبر‬‏]]:Rural[[#This Row],[‫یولیو‬‏]]),"")</f>
        <v>56.93</v>
      </c>
      <c r="U145" s="1">
        <f>IFERROR(AVERAGE(Rural[[#This Row],[‫یونیو‬‏]]:Rural[[#This Row],[‫ابریل‬‏]]),"")</f>
        <v>55.51</v>
      </c>
      <c r="V145" s="1">
        <f>IFERROR(AVERAGE(Rural[[#This Row],[‫مارس‬‏]]:Rural[[#This Row],[‫ینایر‬‏]]),"")</f>
        <v>54.406666666666666</v>
      </c>
    </row>
    <row r="146" spans="1:22" x14ac:dyDescent="0.35">
      <c r="A146" s="1">
        <v>9.5</v>
      </c>
      <c r="B146" s="1">
        <v>34.67</v>
      </c>
      <c r="C146" s="1">
        <v>37.96</v>
      </c>
      <c r="D146" s="1">
        <v>39.450000000000003</v>
      </c>
      <c r="E146" s="1">
        <v>38.950000000000003</v>
      </c>
      <c r="F146" s="1">
        <v>38.520000000000003</v>
      </c>
      <c r="G146" s="1">
        <v>38.47</v>
      </c>
      <c r="H146" s="1">
        <v>38.47</v>
      </c>
      <c r="I146" s="1">
        <v>38.08</v>
      </c>
      <c r="J146" s="1">
        <v>37.43</v>
      </c>
      <c r="K146" s="1">
        <v>37.35</v>
      </c>
      <c r="L146" s="1">
        <v>38.36</v>
      </c>
      <c r="M146" s="1">
        <v>36.840000000000003</v>
      </c>
      <c r="N146" s="1">
        <v>36.83</v>
      </c>
      <c r="O146" s="1">
        <v>36.83</v>
      </c>
      <c r="P146" t="s">
        <v>267</v>
      </c>
      <c r="Q146" t="s">
        <v>670</v>
      </c>
      <c r="R146" s="1" t="s">
        <v>526</v>
      </c>
      <c r="S146" s="1">
        <f>IFERROR(AVERAGE(Rural[[#This Row],[‫دیسمبر‬‏]]:Rural[[#This Row],[‫اكتوبر‬‏]]),"")</f>
        <v>38.973333333333336</v>
      </c>
      <c r="T146" s="1">
        <f>IFERROR(AVERAGE(Rural[[#This Row],[‫سبتمبر‬‏]]:Rural[[#This Row],[‫یولیو‬‏]]),"")</f>
        <v>38.339999999999996</v>
      </c>
      <c r="U146" s="1">
        <f>IFERROR(AVERAGE(Rural[[#This Row],[‫یونیو‬‏]]:Rural[[#This Row],[‫ابریل‬‏]]),"")</f>
        <v>37.713333333333331</v>
      </c>
      <c r="V146" s="1">
        <f>IFERROR(AVERAGE(Rural[[#This Row],[‫مارس‬‏]]:Rural[[#This Row],[‫ینایر‬‏]]),"")</f>
        <v>36.833333333333336</v>
      </c>
    </row>
    <row r="147" spans="1:22" x14ac:dyDescent="0.35">
      <c r="A147" s="1">
        <v>12.4</v>
      </c>
      <c r="B147" s="1">
        <v>164.73</v>
      </c>
      <c r="C147" s="1">
        <v>185.14</v>
      </c>
      <c r="D147" s="1">
        <v>193.21</v>
      </c>
      <c r="E147" s="1">
        <v>193.22</v>
      </c>
      <c r="F147" s="1">
        <v>191.06</v>
      </c>
      <c r="G147" s="1">
        <v>189.15</v>
      </c>
      <c r="H147" s="1">
        <v>189.28</v>
      </c>
      <c r="I147" s="1">
        <v>185.19</v>
      </c>
      <c r="J147" s="1">
        <v>182.62</v>
      </c>
      <c r="K147" s="1">
        <v>182.76</v>
      </c>
      <c r="L147" s="1">
        <v>179.48</v>
      </c>
      <c r="M147" s="1">
        <v>180.24</v>
      </c>
      <c r="N147" s="1">
        <v>178.44</v>
      </c>
      <c r="O147" s="1">
        <v>177.04</v>
      </c>
      <c r="P147" t="s">
        <v>25</v>
      </c>
      <c r="Q147" t="s">
        <v>671</v>
      </c>
      <c r="R147" s="1" t="s">
        <v>526</v>
      </c>
      <c r="S147" s="1">
        <f>IFERROR(AVERAGE(Rural[[#This Row],[‫دیسمبر‬‏]]:Rural[[#This Row],[‫اكتوبر‬‏]]),"")</f>
        <v>192.49666666666667</v>
      </c>
      <c r="T147" s="1">
        <f>IFERROR(AVERAGE(Rural[[#This Row],[‫سبتمبر‬‏]]:Rural[[#This Row],[‫یولیو‬‏]]),"")</f>
        <v>187.87333333333333</v>
      </c>
      <c r="U147" s="1">
        <f>IFERROR(AVERAGE(Rural[[#This Row],[‫یونیو‬‏]]:Rural[[#This Row],[‫ابریل‬‏]]),"")</f>
        <v>181.62</v>
      </c>
      <c r="V147" s="1">
        <f>IFERROR(AVERAGE(Rural[[#This Row],[‫مارس‬‏]]:Rural[[#This Row],[‫ینایر‬‏]]),"")</f>
        <v>178.57333333333335</v>
      </c>
    </row>
    <row r="148" spans="1:22" x14ac:dyDescent="0.35">
      <c r="A148" s="1">
        <v>10.199999999999999</v>
      </c>
      <c r="B148" s="1">
        <v>12.34</v>
      </c>
      <c r="C148" s="1">
        <v>13.6</v>
      </c>
      <c r="D148" s="1">
        <v>13.98</v>
      </c>
      <c r="E148" s="1">
        <v>13.83</v>
      </c>
      <c r="F148" s="1">
        <v>13.83</v>
      </c>
      <c r="G148" s="1">
        <v>13.8</v>
      </c>
      <c r="H148" s="1">
        <v>13.61</v>
      </c>
      <c r="I148" s="1">
        <v>13.56</v>
      </c>
      <c r="J148" s="1">
        <v>13.48</v>
      </c>
      <c r="K148" s="1">
        <v>13.48</v>
      </c>
      <c r="L148" s="1">
        <v>13.39</v>
      </c>
      <c r="M148" s="1">
        <v>13.43</v>
      </c>
      <c r="N148" s="1">
        <v>13.42</v>
      </c>
      <c r="O148" s="1">
        <v>13.4</v>
      </c>
      <c r="P148" t="s">
        <v>380</v>
      </c>
      <c r="Q148" t="s">
        <v>672</v>
      </c>
      <c r="R148" s="1" t="s">
        <v>526</v>
      </c>
      <c r="S148" s="1">
        <f>IFERROR(AVERAGE(Rural[[#This Row],[‫دیسمبر‬‏]]:Rural[[#This Row],[‫اكتوبر‬‏]]),"")</f>
        <v>13.88</v>
      </c>
      <c r="T148" s="1">
        <f>IFERROR(AVERAGE(Rural[[#This Row],[‫سبتمبر‬‏]]:Rural[[#This Row],[‫یولیو‬‏]]),"")</f>
        <v>13.656666666666666</v>
      </c>
      <c r="U148" s="1">
        <f>IFERROR(AVERAGE(Rural[[#This Row],[‫یونیو‬‏]]:Rural[[#This Row],[‫ابریل‬‏]]),"")</f>
        <v>13.450000000000001</v>
      </c>
      <c r="V148" s="1">
        <f>IFERROR(AVERAGE(Rural[[#This Row],[‫مارس‬‏]]:Rural[[#This Row],[‫ینایر‬‏]]),"")</f>
        <v>13.416666666666666</v>
      </c>
    </row>
    <row r="149" spans="1:22" x14ac:dyDescent="0.35">
      <c r="A149" s="1">
        <v>4.0999999999999996</v>
      </c>
      <c r="B149" s="1">
        <v>90.96</v>
      </c>
      <c r="C149" s="1">
        <v>94.7</v>
      </c>
      <c r="D149" s="1">
        <v>96.51</v>
      </c>
      <c r="E149" s="1">
        <v>96.1</v>
      </c>
      <c r="F149" s="1">
        <v>95.02</v>
      </c>
      <c r="G149" s="1">
        <v>95.32</v>
      </c>
      <c r="H149" s="1">
        <v>96.24</v>
      </c>
      <c r="I149" s="1">
        <v>96.24</v>
      </c>
      <c r="J149" s="1">
        <v>94.81</v>
      </c>
      <c r="K149" s="1">
        <v>94.49</v>
      </c>
      <c r="L149" s="1">
        <v>93.92</v>
      </c>
      <c r="M149" s="1">
        <v>93.79</v>
      </c>
      <c r="N149" s="1">
        <v>91.98</v>
      </c>
      <c r="O149" s="1">
        <v>91.98</v>
      </c>
      <c r="P149" t="s">
        <v>391</v>
      </c>
      <c r="Q149" t="s">
        <v>673</v>
      </c>
      <c r="R149" s="1" t="s">
        <v>526</v>
      </c>
      <c r="S149" s="1">
        <f>IFERROR(AVERAGE(Rural[[#This Row],[‫دیسمبر‬‏]]:Rural[[#This Row],[‫اكتوبر‬‏]]),"")</f>
        <v>95.876666666666665</v>
      </c>
      <c r="T149" s="1">
        <f>IFERROR(AVERAGE(Rural[[#This Row],[‫سبتمبر‬‏]]:Rural[[#This Row],[‫یولیو‬‏]]),"")</f>
        <v>95.933333333333337</v>
      </c>
      <c r="U149" s="1">
        <f>IFERROR(AVERAGE(Rural[[#This Row],[‫یونیو‬‏]]:Rural[[#This Row],[‫ابریل‬‏]]),"")</f>
        <v>94.40666666666668</v>
      </c>
      <c r="V149" s="1">
        <f>IFERROR(AVERAGE(Rural[[#This Row],[‫مارس‬‏]]:Rural[[#This Row],[‫ینایر‬‏]]),"")</f>
        <v>92.583333333333329</v>
      </c>
    </row>
    <row r="150" spans="1:22" x14ac:dyDescent="0.35">
      <c r="A150" s="1">
        <v>19.399999999999999</v>
      </c>
      <c r="B150" s="1">
        <v>110.55</v>
      </c>
      <c r="C150" s="1">
        <v>131.97999999999999</v>
      </c>
      <c r="D150" s="1">
        <v>138.69</v>
      </c>
      <c r="E150" s="1">
        <v>138.69</v>
      </c>
      <c r="F150" s="1">
        <v>133.1</v>
      </c>
      <c r="G150" s="1">
        <v>133.1</v>
      </c>
      <c r="H150" s="1">
        <v>133.1</v>
      </c>
      <c r="I150" s="1">
        <v>133.1</v>
      </c>
      <c r="J150" s="1">
        <v>133.1</v>
      </c>
      <c r="K150" s="1">
        <v>131.30000000000001</v>
      </c>
      <c r="L150" s="1">
        <v>131.30000000000001</v>
      </c>
      <c r="M150" s="1">
        <v>131.30000000000001</v>
      </c>
      <c r="N150" s="1">
        <v>123.51</v>
      </c>
      <c r="O150" s="1">
        <v>123.51</v>
      </c>
      <c r="P150" t="s">
        <v>391</v>
      </c>
      <c r="Q150" t="s">
        <v>674</v>
      </c>
      <c r="R150" s="1" t="s">
        <v>526</v>
      </c>
      <c r="S150" s="1">
        <f>IFERROR(AVERAGE(Rural[[#This Row],[‫دیسمبر‬‏]]:Rural[[#This Row],[‫اكتوبر‬‏]]),"")</f>
        <v>136.82666666666668</v>
      </c>
      <c r="T150" s="1">
        <f>IFERROR(AVERAGE(Rural[[#This Row],[‫سبتمبر‬‏]]:Rural[[#This Row],[‫یولیو‬‏]]),"")</f>
        <v>133.1</v>
      </c>
      <c r="U150" s="1">
        <f>IFERROR(AVERAGE(Rural[[#This Row],[‫یونیو‬‏]]:Rural[[#This Row],[‫ابریل‬‏]]),"")</f>
        <v>131.9</v>
      </c>
      <c r="V150" s="1">
        <f>IFERROR(AVERAGE(Rural[[#This Row],[‫مارس‬‏]]:Rural[[#This Row],[‫ینایر‬‏]]),"")</f>
        <v>126.10666666666667</v>
      </c>
    </row>
    <row r="151" spans="1:22" x14ac:dyDescent="0.35">
      <c r="A151" s="1">
        <v>6.2</v>
      </c>
      <c r="B151" s="1">
        <v>183.82</v>
      </c>
      <c r="C151" s="1">
        <v>195.16</v>
      </c>
      <c r="D151" s="1">
        <v>198.66</v>
      </c>
      <c r="E151" s="1">
        <v>198.74</v>
      </c>
      <c r="F151" s="1">
        <v>194.5</v>
      </c>
      <c r="G151" s="1">
        <v>194.18</v>
      </c>
      <c r="H151" s="1">
        <v>194.46</v>
      </c>
      <c r="I151" s="1">
        <v>194.46</v>
      </c>
      <c r="J151" s="1">
        <v>194.41</v>
      </c>
      <c r="K151" s="1">
        <v>194.4</v>
      </c>
      <c r="L151" s="1">
        <v>198.62</v>
      </c>
      <c r="M151" s="1">
        <v>193.59</v>
      </c>
      <c r="N151" s="1">
        <v>193.52</v>
      </c>
      <c r="O151" s="1">
        <v>192.41</v>
      </c>
      <c r="P151" t="s">
        <v>675</v>
      </c>
      <c r="Q151" t="s">
        <v>676</v>
      </c>
      <c r="R151" s="1" t="s">
        <v>526</v>
      </c>
      <c r="S151" s="1">
        <f>IFERROR(AVERAGE(Rural[[#This Row],[‫دیسمبر‬‏]]:Rural[[#This Row],[‫اكتوبر‬‏]]),"")</f>
        <v>197.29999999999998</v>
      </c>
      <c r="T151" s="1">
        <f>IFERROR(AVERAGE(Rural[[#This Row],[‫سبتمبر‬‏]]:Rural[[#This Row],[‫یولیو‬‏]]),"")</f>
        <v>194.36666666666667</v>
      </c>
      <c r="U151" s="1">
        <f>IFERROR(AVERAGE(Rural[[#This Row],[‫یونیو‬‏]]:Rural[[#This Row],[‫ابریل‬‏]]),"")</f>
        <v>195.81000000000003</v>
      </c>
      <c r="V151" s="1">
        <f>IFERROR(AVERAGE(Rural[[#This Row],[‫مارس‬‏]]:Rural[[#This Row],[‫ینایر‬‏]]),"")</f>
        <v>193.17333333333332</v>
      </c>
    </row>
    <row r="152" spans="1:22" x14ac:dyDescent="0.35">
      <c r="A152" s="1">
        <v>9.6</v>
      </c>
      <c r="B152" s="1">
        <v>217.5</v>
      </c>
      <c r="C152" s="1">
        <v>238.35</v>
      </c>
      <c r="D152" s="1">
        <v>247.67</v>
      </c>
      <c r="E152" s="1">
        <v>245.06</v>
      </c>
      <c r="F152" s="1">
        <v>240.8</v>
      </c>
      <c r="G152" s="1">
        <v>237.58</v>
      </c>
      <c r="H152" s="1">
        <v>237.37</v>
      </c>
      <c r="I152" s="1">
        <v>237.71</v>
      </c>
      <c r="J152" s="1">
        <v>236.92</v>
      </c>
      <c r="K152" s="1">
        <v>233.96</v>
      </c>
      <c r="L152" s="1">
        <v>235.4</v>
      </c>
      <c r="M152" s="1">
        <v>239.14</v>
      </c>
      <c r="N152" s="1">
        <v>235.32</v>
      </c>
      <c r="O152" s="1">
        <v>233.32</v>
      </c>
      <c r="P152" t="s">
        <v>25</v>
      </c>
      <c r="Q152" t="s">
        <v>677</v>
      </c>
      <c r="R152" s="1" t="s">
        <v>526</v>
      </c>
      <c r="S152" s="1">
        <f>IFERROR(AVERAGE(Rural[[#This Row],[‫دیسمبر‬‏]]:Rural[[#This Row],[‫اكتوبر‬‏]]),"")</f>
        <v>244.51</v>
      </c>
      <c r="T152" s="1">
        <f>IFERROR(AVERAGE(Rural[[#This Row],[‫سبتمبر‬‏]]:Rural[[#This Row],[‫یولیو‬‏]]),"")</f>
        <v>237.55333333333337</v>
      </c>
      <c r="U152" s="1">
        <f>IFERROR(AVERAGE(Rural[[#This Row],[‫یونیو‬‏]]:Rural[[#This Row],[‫ابریل‬‏]]),"")</f>
        <v>235.42666666666665</v>
      </c>
      <c r="V152" s="1">
        <f>IFERROR(AVERAGE(Rural[[#This Row],[‫مارس‬‏]]:Rural[[#This Row],[‫ینایر‬‏]]),"")</f>
        <v>235.92666666666665</v>
      </c>
    </row>
    <row r="153" spans="1:22" x14ac:dyDescent="0.35">
      <c r="A153" s="1">
        <v>10.8</v>
      </c>
      <c r="B153" s="1">
        <v>187.89</v>
      </c>
      <c r="C153" s="1">
        <v>208.11</v>
      </c>
      <c r="D153" s="1">
        <v>214.54</v>
      </c>
      <c r="E153" s="1">
        <v>212</v>
      </c>
      <c r="F153" s="1">
        <v>209.73</v>
      </c>
      <c r="G153" s="1">
        <v>207.09</v>
      </c>
      <c r="H153" s="1">
        <v>207.15</v>
      </c>
      <c r="I153" s="1">
        <v>207.49</v>
      </c>
      <c r="J153" s="1">
        <v>206.62</v>
      </c>
      <c r="K153" s="1">
        <v>204.38</v>
      </c>
      <c r="L153" s="1">
        <v>210.12</v>
      </c>
      <c r="M153" s="1">
        <v>208.58</v>
      </c>
      <c r="N153" s="1">
        <v>206.15</v>
      </c>
      <c r="O153" s="1">
        <v>203.44</v>
      </c>
      <c r="P153" t="s">
        <v>25</v>
      </c>
      <c r="Q153" t="s">
        <v>678</v>
      </c>
      <c r="R153" s="1" t="s">
        <v>526</v>
      </c>
      <c r="S153" s="1">
        <f>IFERROR(AVERAGE(Rural[[#This Row],[‫دیسمبر‬‏]]:Rural[[#This Row],[‫اكتوبر‬‏]]),"")</f>
        <v>212.09</v>
      </c>
      <c r="T153" s="1">
        <f>IFERROR(AVERAGE(Rural[[#This Row],[‫سبتمبر‬‏]]:Rural[[#This Row],[‫یولیو‬‏]]),"")</f>
        <v>207.24333333333334</v>
      </c>
      <c r="U153" s="1">
        <f>IFERROR(AVERAGE(Rural[[#This Row],[‫یونیو‬‏]]:Rural[[#This Row],[‫ابریل‬‏]]),"")</f>
        <v>207.04</v>
      </c>
      <c r="V153" s="1">
        <f>IFERROR(AVERAGE(Rural[[#This Row],[‫مارس‬‏]]:Rural[[#This Row],[‫ینایر‬‏]]),"")</f>
        <v>206.0566666666667</v>
      </c>
    </row>
    <row r="154" spans="1:22" x14ac:dyDescent="0.35">
      <c r="A154" s="1">
        <v>7.3</v>
      </c>
      <c r="B154" s="1">
        <v>294.06</v>
      </c>
      <c r="C154" s="1">
        <v>315.5</v>
      </c>
      <c r="D154" s="1">
        <v>322.89999999999998</v>
      </c>
      <c r="E154" s="1">
        <v>322.89999999999998</v>
      </c>
      <c r="F154" s="1">
        <v>317.5</v>
      </c>
      <c r="G154" s="1">
        <v>315.83999999999997</v>
      </c>
      <c r="H154" s="1">
        <v>315.95</v>
      </c>
      <c r="I154" s="1">
        <v>315.02999999999997</v>
      </c>
      <c r="J154" s="1">
        <v>315.01</v>
      </c>
      <c r="K154" s="1">
        <v>312.04000000000002</v>
      </c>
      <c r="L154" s="1">
        <v>313.08999999999997</v>
      </c>
      <c r="M154" s="1">
        <v>314.75</v>
      </c>
      <c r="N154" s="1">
        <v>311.60000000000002</v>
      </c>
      <c r="O154" s="1">
        <v>309.35000000000002</v>
      </c>
      <c r="P154" t="s">
        <v>25</v>
      </c>
      <c r="Q154" t="s">
        <v>679</v>
      </c>
      <c r="R154" s="1" t="s">
        <v>526</v>
      </c>
      <c r="S154" s="1">
        <f>IFERROR(AVERAGE(Rural[[#This Row],[‫دیسمبر‬‏]]:Rural[[#This Row],[‫اكتوبر‬‏]]),"")</f>
        <v>321.09999999999997</v>
      </c>
      <c r="T154" s="1">
        <f>IFERROR(AVERAGE(Rural[[#This Row],[‫سبتمبر‬‏]]:Rural[[#This Row],[‫یولیو‬‏]]),"")</f>
        <v>315.60666666666663</v>
      </c>
      <c r="U154" s="1">
        <f>IFERROR(AVERAGE(Rural[[#This Row],[‫یونیو‬‏]]:Rural[[#This Row],[‫ابریل‬‏]]),"")</f>
        <v>313.37999999999994</v>
      </c>
      <c r="V154" s="1">
        <f>IFERROR(AVERAGE(Rural[[#This Row],[‫مارس‬‏]]:Rural[[#This Row],[‫ینایر‬‏]]),"")</f>
        <v>311.90000000000003</v>
      </c>
    </row>
    <row r="155" spans="1:22" x14ac:dyDescent="0.35">
      <c r="A155" s="1">
        <v>9.6</v>
      </c>
      <c r="B155" s="1">
        <v>7.87</v>
      </c>
      <c r="C155" s="1">
        <v>8.6300000000000008</v>
      </c>
      <c r="D155" s="1">
        <v>8.83</v>
      </c>
      <c r="E155" s="1">
        <v>8.8000000000000007</v>
      </c>
      <c r="F155" s="1">
        <v>8.81</v>
      </c>
      <c r="G155" s="1">
        <v>8.76</v>
      </c>
      <c r="H155" s="1">
        <v>8.73</v>
      </c>
      <c r="I155" s="1">
        <v>8.7200000000000006</v>
      </c>
      <c r="J155" s="1">
        <v>8.66</v>
      </c>
      <c r="K155" s="1">
        <v>8.57</v>
      </c>
      <c r="L155" s="1">
        <v>8.75</v>
      </c>
      <c r="M155" s="1">
        <v>8.33</v>
      </c>
      <c r="N155" s="1">
        <v>8.33</v>
      </c>
      <c r="O155" s="1">
        <v>8.2899999999999991</v>
      </c>
      <c r="P155" t="s">
        <v>385</v>
      </c>
      <c r="Q155" t="s">
        <v>680</v>
      </c>
      <c r="R155" s="1" t="s">
        <v>526</v>
      </c>
      <c r="S155" s="1">
        <f>IFERROR(AVERAGE(Rural[[#This Row],[‫دیسمبر‬‏]]:Rural[[#This Row],[‫اكتوبر‬‏]]),"")</f>
        <v>8.8133333333333344</v>
      </c>
      <c r="T155" s="1">
        <f>IFERROR(AVERAGE(Rural[[#This Row],[‫سبتمبر‬‏]]:Rural[[#This Row],[‫یولیو‬‏]]),"")</f>
        <v>8.7366666666666664</v>
      </c>
      <c r="U155" s="1">
        <f>IFERROR(AVERAGE(Rural[[#This Row],[‫یونیو‬‏]]:Rural[[#This Row],[‫ابریل‬‏]]),"")</f>
        <v>8.66</v>
      </c>
      <c r="V155" s="1">
        <f>IFERROR(AVERAGE(Rural[[#This Row],[‫مارس‬‏]]:Rural[[#This Row],[‫ینایر‬‏]]),"")</f>
        <v>8.3166666666666664</v>
      </c>
    </row>
    <row r="156" spans="1:22" x14ac:dyDescent="0.35">
      <c r="A156" s="1">
        <v>12.3</v>
      </c>
      <c r="B156" s="1">
        <v>9.0399999999999991</v>
      </c>
      <c r="C156" s="1">
        <v>10.15</v>
      </c>
      <c r="D156" s="1">
        <v>10.42</v>
      </c>
      <c r="E156" s="1">
        <v>10.38</v>
      </c>
      <c r="F156" s="1">
        <v>10.44</v>
      </c>
      <c r="G156" s="1">
        <v>10.33</v>
      </c>
      <c r="H156" s="1">
        <v>10.3</v>
      </c>
      <c r="I156" s="1">
        <v>10.29</v>
      </c>
      <c r="J156" s="1">
        <v>10.220000000000001</v>
      </c>
      <c r="K156" s="1">
        <v>10.14</v>
      </c>
      <c r="L156" s="1">
        <v>10.130000000000001</v>
      </c>
      <c r="M156" s="1">
        <v>9.73</v>
      </c>
      <c r="N156" s="1">
        <v>9.73</v>
      </c>
      <c r="O156" s="1">
        <v>9.7100000000000009</v>
      </c>
      <c r="P156" t="s">
        <v>387</v>
      </c>
      <c r="Q156" t="s">
        <v>681</v>
      </c>
      <c r="R156" s="1" t="s">
        <v>526</v>
      </c>
      <c r="S156" s="1">
        <f>IFERROR(AVERAGE(Rural[[#This Row],[‫دیسمبر‬‏]]:Rural[[#This Row],[‫اكتوبر‬‏]]),"")</f>
        <v>10.413333333333334</v>
      </c>
      <c r="T156" s="1">
        <f>IFERROR(AVERAGE(Rural[[#This Row],[‫سبتمبر‬‏]]:Rural[[#This Row],[‫یولیو‬‏]]),"")</f>
        <v>10.306666666666667</v>
      </c>
      <c r="U156" s="1">
        <f>IFERROR(AVERAGE(Rural[[#This Row],[‫یونیو‬‏]]:Rural[[#This Row],[‫ابریل‬‏]]),"")</f>
        <v>10.163333333333334</v>
      </c>
      <c r="V156" s="1">
        <f>IFERROR(AVERAGE(Rural[[#This Row],[‫مارس‬‏]]:Rural[[#This Row],[‫ینایر‬‏]]),"")</f>
        <v>9.7233333333333345</v>
      </c>
    </row>
    <row r="157" spans="1:22" x14ac:dyDescent="0.35">
      <c r="A157" s="1">
        <v>6.1</v>
      </c>
      <c r="B157" s="1">
        <v>144.47</v>
      </c>
      <c r="C157" s="1">
        <v>153.22</v>
      </c>
      <c r="D157" s="1">
        <v>155.76</v>
      </c>
      <c r="E157" s="1">
        <v>155.21</v>
      </c>
      <c r="F157" s="1">
        <v>154.66</v>
      </c>
      <c r="G157" s="1">
        <v>153.76</v>
      </c>
      <c r="H157" s="1">
        <v>153.18</v>
      </c>
      <c r="I157" s="1">
        <v>152.94999999999999</v>
      </c>
      <c r="J157" s="1">
        <v>152.88</v>
      </c>
      <c r="K157" s="1">
        <v>152.29</v>
      </c>
      <c r="L157" s="1">
        <v>151.91</v>
      </c>
      <c r="M157" s="1">
        <v>152</v>
      </c>
      <c r="N157" s="1">
        <v>152.52000000000001</v>
      </c>
      <c r="O157" s="1">
        <v>151.52000000000001</v>
      </c>
      <c r="P157" t="s">
        <v>682</v>
      </c>
      <c r="Q157" t="s">
        <v>683</v>
      </c>
      <c r="R157" s="1" t="s">
        <v>526</v>
      </c>
      <c r="S157" s="1">
        <f>IFERROR(AVERAGE(Rural[[#This Row],[‫دیسمبر‬‏]]:Rural[[#This Row],[‫اكتوبر‬‏]]),"")</f>
        <v>155.21</v>
      </c>
      <c r="T157" s="1">
        <f>IFERROR(AVERAGE(Rural[[#This Row],[‫سبتمبر‬‏]]:Rural[[#This Row],[‫یولیو‬‏]]),"")</f>
        <v>153.29666666666665</v>
      </c>
      <c r="U157" s="1">
        <f>IFERROR(AVERAGE(Rural[[#This Row],[‫یونیو‬‏]]:Rural[[#This Row],[‫ابریل‬‏]]),"")</f>
        <v>152.35999999999999</v>
      </c>
      <c r="V157" s="1">
        <f>IFERROR(AVERAGE(Rural[[#This Row],[‫مارس‬‏]]:Rural[[#This Row],[‫ینایر‬‏]]),"")</f>
        <v>152.01333333333332</v>
      </c>
    </row>
    <row r="158" spans="1:22" x14ac:dyDescent="0.35">
      <c r="A158" s="1">
        <v>7.4</v>
      </c>
      <c r="B158" s="1">
        <v>81.08</v>
      </c>
      <c r="C158" s="1">
        <v>87.08</v>
      </c>
      <c r="D158" s="1">
        <v>88.64</v>
      </c>
      <c r="E158" s="1">
        <v>88.24</v>
      </c>
      <c r="F158" s="1">
        <v>87.93</v>
      </c>
      <c r="G158" s="1">
        <v>87.91</v>
      </c>
      <c r="H158" s="1">
        <v>87.43</v>
      </c>
      <c r="I158" s="1">
        <v>86.81</v>
      </c>
      <c r="J158" s="1">
        <v>86.79</v>
      </c>
      <c r="K158" s="1">
        <v>86.3</v>
      </c>
      <c r="L158" s="1">
        <v>87.21</v>
      </c>
      <c r="M158" s="1">
        <v>86.22</v>
      </c>
      <c r="N158" s="1">
        <v>86.28</v>
      </c>
      <c r="O158" s="1">
        <v>85.2</v>
      </c>
      <c r="P158" t="s">
        <v>391</v>
      </c>
      <c r="Q158" t="s">
        <v>684</v>
      </c>
      <c r="R158" s="1" t="s">
        <v>526</v>
      </c>
      <c r="S158" s="1">
        <f>IFERROR(AVERAGE(Rural[[#This Row],[‫دیسمبر‬‏]]:Rural[[#This Row],[‫اكتوبر‬‏]]),"")</f>
        <v>88.27</v>
      </c>
      <c r="T158" s="1">
        <f>IFERROR(AVERAGE(Rural[[#This Row],[‫سبتمبر‬‏]]:Rural[[#This Row],[‫یولیو‬‏]]),"")</f>
        <v>87.383333333333326</v>
      </c>
      <c r="U158" s="1">
        <f>IFERROR(AVERAGE(Rural[[#This Row],[‫یونیو‬‏]]:Rural[[#This Row],[‫ابریل‬‏]]),"")</f>
        <v>86.766666666666666</v>
      </c>
      <c r="V158" s="1">
        <f>IFERROR(AVERAGE(Rural[[#This Row],[‫مارس‬‏]]:Rural[[#This Row],[‫ینایر‬‏]]),"")</f>
        <v>85.899999999999991</v>
      </c>
    </row>
    <row r="159" spans="1:22" x14ac:dyDescent="0.35">
      <c r="A159" s="1">
        <v>12.2</v>
      </c>
      <c r="B159" s="1">
        <v>75.849999999999994</v>
      </c>
      <c r="C159" s="1">
        <v>85.08</v>
      </c>
      <c r="D159" s="1">
        <v>88.26</v>
      </c>
      <c r="E159" s="1">
        <v>88.15</v>
      </c>
      <c r="F159" s="1">
        <v>87.85</v>
      </c>
      <c r="G159" s="1">
        <v>87.32</v>
      </c>
      <c r="H159" s="1">
        <v>87.28</v>
      </c>
      <c r="I159" s="1">
        <v>87.46</v>
      </c>
      <c r="J159" s="1">
        <v>83.81</v>
      </c>
      <c r="K159" s="1">
        <v>83.81</v>
      </c>
      <c r="L159" s="1">
        <v>77.63</v>
      </c>
      <c r="M159" s="1">
        <v>82.87</v>
      </c>
      <c r="N159" s="1">
        <v>82.94</v>
      </c>
      <c r="O159" s="1">
        <v>83.53</v>
      </c>
      <c r="P159" t="s">
        <v>366</v>
      </c>
      <c r="Q159" t="s">
        <v>685</v>
      </c>
      <c r="R159" s="1" t="s">
        <v>526</v>
      </c>
      <c r="S159" s="1">
        <f>IFERROR(AVERAGE(Rural[[#This Row],[‫دیسمبر‬‏]]:Rural[[#This Row],[‫اكتوبر‬‏]]),"")</f>
        <v>88.086666666666659</v>
      </c>
      <c r="T159" s="1">
        <f>IFERROR(AVERAGE(Rural[[#This Row],[‫سبتمبر‬‏]]:Rural[[#This Row],[‫یولیو‬‏]]),"")</f>
        <v>87.353333333333339</v>
      </c>
      <c r="U159" s="1">
        <f>IFERROR(AVERAGE(Rural[[#This Row],[‫یونیو‬‏]]:Rural[[#This Row],[‫ابریل‬‏]]),"")</f>
        <v>81.75</v>
      </c>
      <c r="V159" s="1">
        <f>IFERROR(AVERAGE(Rural[[#This Row],[‫مارس‬‏]]:Rural[[#This Row],[‫ینایر‬‏]]),"")</f>
        <v>83.11333333333333</v>
      </c>
    </row>
    <row r="160" spans="1:22" x14ac:dyDescent="0.35">
      <c r="A160" s="1">
        <v>10.199999999999999</v>
      </c>
      <c r="B160" s="1">
        <v>42.63</v>
      </c>
      <c r="C160" s="1">
        <v>46.98</v>
      </c>
      <c r="D160" s="1">
        <v>48.8</v>
      </c>
      <c r="E160" s="1">
        <v>48.02</v>
      </c>
      <c r="F160" s="1">
        <v>47.98</v>
      </c>
      <c r="G160" s="1">
        <v>47.39</v>
      </c>
      <c r="H160" s="1">
        <v>46.94</v>
      </c>
      <c r="I160" s="1">
        <v>47.03</v>
      </c>
      <c r="J160" s="1">
        <v>46.93</v>
      </c>
      <c r="K160" s="1">
        <v>46.42</v>
      </c>
      <c r="L160" s="1">
        <v>45.58</v>
      </c>
      <c r="M160" s="1">
        <v>46.37</v>
      </c>
      <c r="N160" s="1">
        <v>46.36</v>
      </c>
      <c r="O160" s="1">
        <v>45.99</v>
      </c>
      <c r="P160" t="s">
        <v>25</v>
      </c>
      <c r="Q160" t="s">
        <v>686</v>
      </c>
      <c r="R160" s="1" t="s">
        <v>526</v>
      </c>
      <c r="S160" s="1">
        <f>IFERROR(AVERAGE(Rural[[#This Row],[‫دیسمبر‬‏]]:Rural[[#This Row],[‫اكتوبر‬‏]]),"")</f>
        <v>48.266666666666659</v>
      </c>
      <c r="T160" s="1">
        <f>IFERROR(AVERAGE(Rural[[#This Row],[‫سبتمبر‬‏]]:Rural[[#This Row],[‫یولیو‬‏]]),"")</f>
        <v>47.120000000000005</v>
      </c>
      <c r="U160" s="1">
        <f>IFERROR(AVERAGE(Rural[[#This Row],[‫یونیو‬‏]]:Rural[[#This Row],[‫ابریل‬‏]]),"")</f>
        <v>46.31</v>
      </c>
      <c r="V160" s="1">
        <f>IFERROR(AVERAGE(Rural[[#This Row],[‫مارس‬‏]]:Rural[[#This Row],[‫ینایر‬‏]]),"")</f>
        <v>46.24</v>
      </c>
    </row>
    <row r="161" spans="1:22" x14ac:dyDescent="0.35">
      <c r="A161" s="1">
        <v>2</v>
      </c>
      <c r="B161" s="1">
        <v>132.79</v>
      </c>
      <c r="C161" s="1">
        <v>135.38999999999999</v>
      </c>
      <c r="D161" s="1">
        <v>137.66999999999999</v>
      </c>
      <c r="E161" s="1">
        <v>136.47999999999999</v>
      </c>
      <c r="F161" s="1">
        <v>136.51</v>
      </c>
      <c r="G161" s="1">
        <v>137.07</v>
      </c>
      <c r="H161" s="1">
        <v>135.63999999999999</v>
      </c>
      <c r="I161" s="1">
        <v>135.58000000000001</v>
      </c>
      <c r="J161" s="1">
        <v>135.36000000000001</v>
      </c>
      <c r="K161" s="1">
        <v>136.55000000000001</v>
      </c>
      <c r="L161" s="1">
        <v>129.77000000000001</v>
      </c>
      <c r="M161" s="1">
        <v>134.28</v>
      </c>
      <c r="N161" s="1">
        <v>134.1</v>
      </c>
      <c r="O161" s="1">
        <v>135.72</v>
      </c>
      <c r="P161" t="s">
        <v>25</v>
      </c>
      <c r="Q161" t="s">
        <v>687</v>
      </c>
      <c r="R161" s="1" t="s">
        <v>526</v>
      </c>
      <c r="S161" s="1">
        <f>IFERROR(AVERAGE(Rural[[#This Row],[‫دیسمبر‬‏]]:Rural[[#This Row],[‫اكتوبر‬‏]]),"")</f>
        <v>136.88666666666666</v>
      </c>
      <c r="T161" s="1">
        <f>IFERROR(AVERAGE(Rural[[#This Row],[‫سبتمبر‬‏]]:Rural[[#This Row],[‫یولیو‬‏]]),"")</f>
        <v>136.09666666666666</v>
      </c>
      <c r="U161" s="1">
        <f>IFERROR(AVERAGE(Rural[[#This Row],[‫یونیو‬‏]]:Rural[[#This Row],[‫ابریل‬‏]]),"")</f>
        <v>133.89333333333335</v>
      </c>
      <c r="V161" s="1">
        <f>IFERROR(AVERAGE(Rural[[#This Row],[‫مارس‬‏]]:Rural[[#This Row],[‫ینایر‬‏]]),"")</f>
        <v>134.70000000000002</v>
      </c>
    </row>
    <row r="162" spans="1:22" x14ac:dyDescent="0.35">
      <c r="A162" s="1">
        <v>7.1</v>
      </c>
      <c r="B162" s="1">
        <v>55.95</v>
      </c>
      <c r="C162" s="1">
        <v>59.91</v>
      </c>
      <c r="D162" s="1">
        <v>61.35</v>
      </c>
      <c r="E162" s="1">
        <v>60.95</v>
      </c>
      <c r="F162" s="1">
        <v>60.53</v>
      </c>
      <c r="G162" s="1">
        <v>60.58</v>
      </c>
      <c r="H162" s="1">
        <v>60.45</v>
      </c>
      <c r="I162" s="1">
        <v>60.39</v>
      </c>
      <c r="J162" s="1">
        <v>60.22</v>
      </c>
      <c r="K162" s="1">
        <v>59.8</v>
      </c>
      <c r="L162" s="1">
        <v>57.81</v>
      </c>
      <c r="M162" s="1">
        <v>58.96</v>
      </c>
      <c r="N162" s="1">
        <v>58.92</v>
      </c>
      <c r="O162" s="1">
        <v>59.01</v>
      </c>
      <c r="P162" t="s">
        <v>442</v>
      </c>
      <c r="Q162" t="s">
        <v>688</v>
      </c>
      <c r="R162" s="1" t="s">
        <v>526</v>
      </c>
      <c r="S162" s="1">
        <f>IFERROR(AVERAGE(Rural[[#This Row],[‫دیسمبر‬‏]]:Rural[[#This Row],[‫اكتوبر‬‏]]),"")</f>
        <v>60.943333333333335</v>
      </c>
      <c r="T162" s="1">
        <f>IFERROR(AVERAGE(Rural[[#This Row],[‫سبتمبر‬‏]]:Rural[[#This Row],[‫یولیو‬‏]]),"")</f>
        <v>60.473333333333336</v>
      </c>
      <c r="U162" s="1">
        <f>IFERROR(AVERAGE(Rural[[#This Row],[‫یونیو‬‏]]:Rural[[#This Row],[‫ابریل‬‏]]),"")</f>
        <v>59.276666666666664</v>
      </c>
      <c r="V162" s="1">
        <f>IFERROR(AVERAGE(Rural[[#This Row],[‫مارس‬‏]]:Rural[[#This Row],[‫ینایر‬‏]]),"")</f>
        <v>58.963333333333331</v>
      </c>
    </row>
    <row r="163" spans="1:22" x14ac:dyDescent="0.35">
      <c r="A163" s="1">
        <v>28.8</v>
      </c>
      <c r="B163" s="1">
        <v>71.95</v>
      </c>
      <c r="C163" s="1">
        <v>92.63</v>
      </c>
      <c r="D163" s="1">
        <v>96.03</v>
      </c>
      <c r="E163" s="1">
        <v>94.65</v>
      </c>
      <c r="F163" s="1">
        <v>94.99</v>
      </c>
      <c r="G163" s="1">
        <v>94.86</v>
      </c>
      <c r="H163" s="1">
        <v>94.42</v>
      </c>
      <c r="I163" s="1">
        <v>94.61</v>
      </c>
      <c r="J163" s="1">
        <v>94.15</v>
      </c>
      <c r="K163" s="1">
        <v>94.08</v>
      </c>
      <c r="L163" s="1">
        <v>87.27</v>
      </c>
      <c r="M163" s="1">
        <v>89.97</v>
      </c>
      <c r="N163" s="1">
        <v>88.76</v>
      </c>
      <c r="O163" s="1">
        <v>87.83</v>
      </c>
      <c r="P163" t="s">
        <v>25</v>
      </c>
      <c r="Q163" t="s">
        <v>689</v>
      </c>
      <c r="R163" s="1" t="s">
        <v>526</v>
      </c>
      <c r="S163" s="1">
        <f>IFERROR(AVERAGE(Rural[[#This Row],[‫دیسمبر‬‏]]:Rural[[#This Row],[‫اكتوبر‬‏]]),"")</f>
        <v>95.223333333333343</v>
      </c>
      <c r="T163" s="1">
        <f>IFERROR(AVERAGE(Rural[[#This Row],[‫سبتمبر‬‏]]:Rural[[#This Row],[‫یولیو‬‏]]),"")</f>
        <v>94.63</v>
      </c>
      <c r="U163" s="1">
        <f>IFERROR(AVERAGE(Rural[[#This Row],[‫یونیو‬‏]]:Rural[[#This Row],[‫ابریل‬‏]]),"")</f>
        <v>91.833333333333329</v>
      </c>
      <c r="V163" s="1">
        <f>IFERROR(AVERAGE(Rural[[#This Row],[‫مارس‬‏]]:Rural[[#This Row],[‫ینایر‬‏]]),"")</f>
        <v>88.853333333333339</v>
      </c>
    </row>
    <row r="164" spans="1:22" x14ac:dyDescent="0.35">
      <c r="A164" s="1">
        <v>28.5</v>
      </c>
      <c r="B164" s="1">
        <v>72.11</v>
      </c>
      <c r="C164" s="1">
        <v>92.65</v>
      </c>
      <c r="D164" s="1">
        <v>96.1</v>
      </c>
      <c r="E164" s="1">
        <v>95.01</v>
      </c>
      <c r="F164" s="1">
        <v>95.01</v>
      </c>
      <c r="G164" s="1">
        <v>94.91</v>
      </c>
      <c r="H164" s="1">
        <v>94.75</v>
      </c>
      <c r="I164" s="1">
        <v>94.66</v>
      </c>
      <c r="J164" s="1">
        <v>94.05</v>
      </c>
      <c r="K164" s="1">
        <v>94.04</v>
      </c>
      <c r="L164" s="1">
        <v>86.24</v>
      </c>
      <c r="M164" s="1">
        <v>90</v>
      </c>
      <c r="N164" s="1">
        <v>88.94</v>
      </c>
      <c r="O164" s="1">
        <v>88.07</v>
      </c>
      <c r="P164" t="s">
        <v>25</v>
      </c>
      <c r="Q164" t="s">
        <v>690</v>
      </c>
      <c r="R164" s="1" t="s">
        <v>526</v>
      </c>
      <c r="S164" s="1">
        <f>IFERROR(AVERAGE(Rural[[#This Row],[‫دیسمبر‬‏]]:Rural[[#This Row],[‫اكتوبر‬‏]]),"")</f>
        <v>95.373333333333335</v>
      </c>
      <c r="T164" s="1">
        <f>IFERROR(AVERAGE(Rural[[#This Row],[‫سبتمبر‬‏]]:Rural[[#This Row],[‫یولیو‬‏]]),"")</f>
        <v>94.773333333333326</v>
      </c>
      <c r="U164" s="1">
        <f>IFERROR(AVERAGE(Rural[[#This Row],[‫یونیو‬‏]]:Rural[[#This Row],[‫ابریل‬‏]]),"")</f>
        <v>91.443333333333328</v>
      </c>
      <c r="V164" s="1">
        <f>IFERROR(AVERAGE(Rural[[#This Row],[‫مارس‬‏]]:Rural[[#This Row],[‫ینایر‬‏]]),"")</f>
        <v>89.00333333333333</v>
      </c>
    </row>
    <row r="165" spans="1:22" x14ac:dyDescent="0.35">
      <c r="A165" s="1">
        <v>3.9</v>
      </c>
      <c r="B165" s="1">
        <v>109.96</v>
      </c>
      <c r="C165" s="1">
        <v>114.26</v>
      </c>
      <c r="D165" s="1">
        <v>116.5</v>
      </c>
      <c r="E165" s="1">
        <v>115.96</v>
      </c>
      <c r="F165" s="1">
        <v>115.65</v>
      </c>
      <c r="G165" s="1">
        <v>114.79</v>
      </c>
      <c r="H165" s="1">
        <v>114.67</v>
      </c>
      <c r="I165" s="1">
        <v>114.49</v>
      </c>
      <c r="J165" s="1">
        <v>113.98</v>
      </c>
      <c r="K165" s="1">
        <v>113.92</v>
      </c>
      <c r="L165" s="1">
        <v>111.18</v>
      </c>
      <c r="M165" s="1">
        <v>113.59</v>
      </c>
      <c r="N165" s="1">
        <v>113.59</v>
      </c>
      <c r="O165" s="1">
        <v>112.8</v>
      </c>
      <c r="P165" t="s">
        <v>25</v>
      </c>
      <c r="Q165" t="s">
        <v>691</v>
      </c>
      <c r="R165" s="1" t="s">
        <v>526</v>
      </c>
      <c r="S165" s="1">
        <f>IFERROR(AVERAGE(Rural[[#This Row],[‫دیسمبر‬‏]]:Rural[[#This Row],[‫اكتوبر‬‏]]),"")</f>
        <v>116.03666666666668</v>
      </c>
      <c r="T165" s="1">
        <f>IFERROR(AVERAGE(Rural[[#This Row],[‫سبتمبر‬‏]]:Rural[[#This Row],[‫یولیو‬‏]]),"")</f>
        <v>114.64999999999999</v>
      </c>
      <c r="U165" s="1">
        <f>IFERROR(AVERAGE(Rural[[#This Row],[‫یونیو‬‏]]:Rural[[#This Row],[‫ابریل‬‏]]),"")</f>
        <v>113.02666666666669</v>
      </c>
      <c r="V165" s="1">
        <f>IFERROR(AVERAGE(Rural[[#This Row],[‫مارس‬‏]]:Rural[[#This Row],[‫ینایر‬‏]]),"")</f>
        <v>113.32666666666667</v>
      </c>
    </row>
    <row r="166" spans="1:22" x14ac:dyDescent="0.35">
      <c r="A166" s="1">
        <v>2.7</v>
      </c>
      <c r="B166" s="1">
        <v>57.73</v>
      </c>
      <c r="C166" s="1">
        <v>59.28</v>
      </c>
      <c r="D166" s="1">
        <v>60.06</v>
      </c>
      <c r="E166" s="1">
        <v>59.79</v>
      </c>
      <c r="F166" s="1">
        <v>59.74</v>
      </c>
      <c r="G166" s="1">
        <v>59.34</v>
      </c>
      <c r="H166" s="1">
        <v>59.17</v>
      </c>
      <c r="I166" s="1">
        <v>59.13</v>
      </c>
      <c r="J166" s="1">
        <v>59.04</v>
      </c>
      <c r="K166" s="1">
        <v>58.98</v>
      </c>
      <c r="L166" s="1">
        <v>60.4</v>
      </c>
      <c r="M166" s="1">
        <v>58.8</v>
      </c>
      <c r="N166" s="1">
        <v>58.8</v>
      </c>
      <c r="O166" s="1">
        <v>58.08</v>
      </c>
      <c r="P166" t="s">
        <v>692</v>
      </c>
      <c r="Q166" t="s">
        <v>693</v>
      </c>
      <c r="R166" s="1" t="s">
        <v>526</v>
      </c>
      <c r="S166" s="1">
        <f>IFERROR(AVERAGE(Rural[[#This Row],[‫دیسمبر‬‏]]:Rural[[#This Row],[‫اكتوبر‬‏]]),"")</f>
        <v>59.863333333333337</v>
      </c>
      <c r="T166" s="1">
        <f>IFERROR(AVERAGE(Rural[[#This Row],[‫سبتمبر‬‏]]:Rural[[#This Row],[‫یولیو‬‏]]),"")</f>
        <v>59.213333333333338</v>
      </c>
      <c r="U166" s="1">
        <f>IFERROR(AVERAGE(Rural[[#This Row],[‫یونیو‬‏]]:Rural[[#This Row],[‫ابریل‬‏]]),"")</f>
        <v>59.473333333333329</v>
      </c>
      <c r="V166" s="1">
        <f>IFERROR(AVERAGE(Rural[[#This Row],[‫مارس‬‏]]:Rural[[#This Row],[‫ینایر‬‏]]),"")</f>
        <v>58.56</v>
      </c>
    </row>
    <row r="167" spans="1:22" x14ac:dyDescent="0.35">
      <c r="A167" s="1">
        <v>2</v>
      </c>
      <c r="B167" s="1">
        <v>25.86</v>
      </c>
      <c r="C167" s="1">
        <v>26.38</v>
      </c>
      <c r="D167" s="1">
        <v>26.53</v>
      </c>
      <c r="E167" s="1">
        <v>26.58</v>
      </c>
      <c r="F167" s="1">
        <v>26.62</v>
      </c>
      <c r="G167" s="1">
        <v>26.52</v>
      </c>
      <c r="H167" s="1">
        <v>26.31</v>
      </c>
      <c r="I167" s="1">
        <v>26.33</v>
      </c>
      <c r="J167" s="1">
        <v>26.29</v>
      </c>
      <c r="K167" s="1">
        <v>26.3</v>
      </c>
      <c r="L167" s="1">
        <v>26.79</v>
      </c>
      <c r="M167" s="1">
        <v>26.18</v>
      </c>
      <c r="N167" s="1">
        <v>26.08</v>
      </c>
      <c r="O167" s="1">
        <v>26</v>
      </c>
      <c r="P167" t="s">
        <v>25</v>
      </c>
      <c r="Q167" t="s">
        <v>694</v>
      </c>
      <c r="R167" s="1" t="s">
        <v>526</v>
      </c>
      <c r="S167" s="1">
        <f>IFERROR(AVERAGE(Rural[[#This Row],[‫دیسمبر‬‏]]:Rural[[#This Row],[‫اكتوبر‬‏]]),"")</f>
        <v>26.576666666666668</v>
      </c>
      <c r="T167" s="1">
        <f>IFERROR(AVERAGE(Rural[[#This Row],[‫سبتمبر‬‏]]:Rural[[#This Row],[‫یولیو‬‏]]),"")</f>
        <v>26.386666666666667</v>
      </c>
      <c r="U167" s="1">
        <f>IFERROR(AVERAGE(Rural[[#This Row],[‫یونیو‬‏]]:Rural[[#This Row],[‫ابریل‬‏]]),"")</f>
        <v>26.459999999999997</v>
      </c>
      <c r="V167" s="1">
        <f>IFERROR(AVERAGE(Rural[[#This Row],[‫مارس‬‏]]:Rural[[#This Row],[‫ینایر‬‏]]),"")</f>
        <v>26.086666666666662</v>
      </c>
    </row>
    <row r="168" spans="1:22" x14ac:dyDescent="0.35">
      <c r="A168" s="1">
        <v>5</v>
      </c>
      <c r="B168" s="1">
        <v>26.41</v>
      </c>
      <c r="C168" s="1">
        <v>27.74</v>
      </c>
      <c r="D168" s="1">
        <v>27.69</v>
      </c>
      <c r="E168" s="1">
        <v>27.88</v>
      </c>
      <c r="F168" s="1">
        <v>27.93</v>
      </c>
      <c r="G168" s="1">
        <v>27.84</v>
      </c>
      <c r="H168" s="1">
        <v>27.9</v>
      </c>
      <c r="I168" s="1">
        <v>27.91</v>
      </c>
      <c r="J168" s="1">
        <v>27.91</v>
      </c>
      <c r="K168" s="1">
        <v>27.93</v>
      </c>
      <c r="L168" s="1">
        <v>27.43</v>
      </c>
      <c r="M168" s="1">
        <v>27.67</v>
      </c>
      <c r="N168" s="1">
        <v>27.48</v>
      </c>
      <c r="O168" s="1">
        <v>27.28</v>
      </c>
      <c r="P168" t="s">
        <v>25</v>
      </c>
      <c r="Q168" t="s">
        <v>695</v>
      </c>
      <c r="R168" s="1" t="s">
        <v>526</v>
      </c>
      <c r="S168" s="1">
        <f>IFERROR(AVERAGE(Rural[[#This Row],[‫دیسمبر‬‏]]:Rural[[#This Row],[‫اكتوبر‬‏]]),"")</f>
        <v>27.833333333333332</v>
      </c>
      <c r="T168" s="1">
        <f>IFERROR(AVERAGE(Rural[[#This Row],[‫سبتمبر‬‏]]:Rural[[#This Row],[‫یولیو‬‏]]),"")</f>
        <v>27.883333333333329</v>
      </c>
      <c r="U168" s="1">
        <f>IFERROR(AVERAGE(Rural[[#This Row],[‫یونیو‬‏]]:Rural[[#This Row],[‫ابریل‬‏]]),"")</f>
        <v>27.756666666666671</v>
      </c>
      <c r="V168" s="1">
        <f>IFERROR(AVERAGE(Rural[[#This Row],[‫مارس‬‏]]:Rural[[#This Row],[‫ینایر‬‏]]),"")</f>
        <v>27.47666666666667</v>
      </c>
    </row>
    <row r="169" spans="1:22" x14ac:dyDescent="0.35">
      <c r="A169" s="1">
        <v>5.4</v>
      </c>
      <c r="B169" s="1">
        <v>21.99</v>
      </c>
      <c r="C169" s="1">
        <v>23.17</v>
      </c>
      <c r="D169" s="1">
        <v>23.24</v>
      </c>
      <c r="E169" s="1">
        <v>23.33</v>
      </c>
      <c r="F169" s="1">
        <v>23.33</v>
      </c>
      <c r="G169" s="1">
        <v>23.28</v>
      </c>
      <c r="H169" s="1">
        <v>23.31</v>
      </c>
      <c r="I169" s="1">
        <v>23.29</v>
      </c>
      <c r="J169" s="1">
        <v>23.29</v>
      </c>
      <c r="K169" s="1">
        <v>23.29</v>
      </c>
      <c r="L169" s="1">
        <v>22.55</v>
      </c>
      <c r="M169" s="1">
        <v>23.17</v>
      </c>
      <c r="N169" s="1">
        <v>23.02</v>
      </c>
      <c r="O169" s="1">
        <v>22.99</v>
      </c>
      <c r="P169" t="s">
        <v>363</v>
      </c>
      <c r="Q169" t="s">
        <v>696</v>
      </c>
      <c r="R169" s="1" t="s">
        <v>526</v>
      </c>
      <c r="S169" s="1">
        <f>IFERROR(AVERAGE(Rural[[#This Row],[‫دیسمبر‬‏]]:Rural[[#This Row],[‫اكتوبر‬‏]]),"")</f>
        <v>23.299999999999997</v>
      </c>
      <c r="T169" s="1">
        <f>IFERROR(AVERAGE(Rural[[#This Row],[‫سبتمبر‬‏]]:Rural[[#This Row],[‫یولیو‬‏]]),"")</f>
        <v>23.293333333333333</v>
      </c>
      <c r="U169" s="1">
        <f>IFERROR(AVERAGE(Rural[[#This Row],[‫یونیو‬‏]]:Rural[[#This Row],[‫ابریل‬‏]]),"")</f>
        <v>23.043333333333333</v>
      </c>
      <c r="V169" s="1">
        <f>IFERROR(AVERAGE(Rural[[#This Row],[‫مارس‬‏]]:Rural[[#This Row],[‫ینایر‬‏]]),"")</f>
        <v>23.06</v>
      </c>
    </row>
    <row r="170" spans="1:22" x14ac:dyDescent="0.35">
      <c r="A170" s="1">
        <v>6.4</v>
      </c>
      <c r="B170" s="1">
        <v>25.37</v>
      </c>
      <c r="C170" s="1">
        <v>27</v>
      </c>
      <c r="D170" s="1">
        <v>27.06</v>
      </c>
      <c r="E170" s="1">
        <v>27.06</v>
      </c>
      <c r="F170" s="1">
        <v>27.06</v>
      </c>
      <c r="G170" s="1">
        <v>27.02</v>
      </c>
      <c r="H170" s="1">
        <v>27.02</v>
      </c>
      <c r="I170" s="1">
        <v>27.02</v>
      </c>
      <c r="J170" s="1">
        <v>27.02</v>
      </c>
      <c r="K170" s="1">
        <v>27.02</v>
      </c>
      <c r="L170" s="1">
        <v>26.88</v>
      </c>
      <c r="M170" s="1">
        <v>27.02</v>
      </c>
      <c r="N170" s="1">
        <v>26.95</v>
      </c>
      <c r="O170" s="1">
        <v>26.91</v>
      </c>
      <c r="P170" t="s">
        <v>363</v>
      </c>
      <c r="Q170" t="s">
        <v>697</v>
      </c>
      <c r="R170" s="1" t="s">
        <v>526</v>
      </c>
      <c r="S170" s="1">
        <f>IFERROR(AVERAGE(Rural[[#This Row],[‫دیسمبر‬‏]]:Rural[[#This Row],[‫اكتوبر‬‏]]),"")</f>
        <v>27.06</v>
      </c>
      <c r="T170" s="1">
        <f>IFERROR(AVERAGE(Rural[[#This Row],[‫سبتمبر‬‏]]:Rural[[#This Row],[‫یولیو‬‏]]),"")</f>
        <v>27.02</v>
      </c>
      <c r="U170" s="1">
        <f>IFERROR(AVERAGE(Rural[[#This Row],[‫یونیو‬‏]]:Rural[[#This Row],[‫ابریل‬‏]]),"")</f>
        <v>26.973333333333333</v>
      </c>
      <c r="V170" s="1">
        <f>IFERROR(AVERAGE(Rural[[#This Row],[‫مارس‬‏]]:Rural[[#This Row],[‫ینایر‬‏]]),"")</f>
        <v>26.959999999999997</v>
      </c>
    </row>
    <row r="171" spans="1:22" x14ac:dyDescent="0.35">
      <c r="A171" s="1">
        <v>5.2</v>
      </c>
      <c r="B171" s="1">
        <v>26.06</v>
      </c>
      <c r="C171" s="1">
        <v>27.41</v>
      </c>
      <c r="D171" s="1">
        <v>27.84</v>
      </c>
      <c r="E171" s="1">
        <v>27.92</v>
      </c>
      <c r="F171" s="1">
        <v>27.92</v>
      </c>
      <c r="G171" s="1">
        <v>27.83</v>
      </c>
      <c r="H171" s="1">
        <v>27.47</v>
      </c>
      <c r="I171" s="1">
        <v>27.47</v>
      </c>
      <c r="J171" s="1">
        <v>27.47</v>
      </c>
      <c r="K171" s="1">
        <v>27.47</v>
      </c>
      <c r="L171" s="1">
        <v>25.84</v>
      </c>
      <c r="M171" s="1">
        <v>27.36</v>
      </c>
      <c r="N171" s="1">
        <v>27.36</v>
      </c>
      <c r="O171" s="1">
        <v>26.95</v>
      </c>
      <c r="P171" t="s">
        <v>363</v>
      </c>
      <c r="Q171" t="s">
        <v>698</v>
      </c>
      <c r="R171" s="1" t="s">
        <v>526</v>
      </c>
      <c r="S171" s="1">
        <f>IFERROR(AVERAGE(Rural[[#This Row],[‫دیسمبر‬‏]]:Rural[[#This Row],[‫اكتوبر‬‏]]),"")</f>
        <v>27.893333333333334</v>
      </c>
      <c r="T171" s="1">
        <f>IFERROR(AVERAGE(Rural[[#This Row],[‫سبتمبر‬‏]]:Rural[[#This Row],[‫یولیو‬‏]]),"")</f>
        <v>27.59</v>
      </c>
      <c r="U171" s="1">
        <f>IFERROR(AVERAGE(Rural[[#This Row],[‫یونیو‬‏]]:Rural[[#This Row],[‫ابریل‬‏]]),"")</f>
        <v>26.926666666666666</v>
      </c>
      <c r="V171" s="1">
        <f>IFERROR(AVERAGE(Rural[[#This Row],[‫مارس‬‏]]:Rural[[#This Row],[‫ینایر‬‏]]),"")</f>
        <v>27.223333333333333</v>
      </c>
    </row>
    <row r="172" spans="1:22" x14ac:dyDescent="0.35">
      <c r="A172" s="1">
        <v>21.2</v>
      </c>
      <c r="B172" s="1">
        <v>2.15</v>
      </c>
      <c r="C172" s="1">
        <v>2.61</v>
      </c>
      <c r="D172" s="1">
        <v>2.79</v>
      </c>
      <c r="E172" s="1">
        <v>2.7</v>
      </c>
      <c r="F172" s="1">
        <v>2.66</v>
      </c>
      <c r="G172" s="1">
        <v>2.65</v>
      </c>
      <c r="H172" s="1">
        <v>2.69</v>
      </c>
      <c r="I172" s="1">
        <v>2.69</v>
      </c>
      <c r="J172" s="1">
        <v>2.68</v>
      </c>
      <c r="K172" s="1">
        <v>2.65</v>
      </c>
      <c r="L172" s="1">
        <v>2.57</v>
      </c>
      <c r="M172" s="1">
        <v>2.4500000000000002</v>
      </c>
      <c r="N172" s="1">
        <v>2.4300000000000002</v>
      </c>
      <c r="O172" s="1">
        <v>2.35</v>
      </c>
      <c r="P172" t="s">
        <v>366</v>
      </c>
      <c r="Q172" t="s">
        <v>699</v>
      </c>
      <c r="R172" s="1" t="s">
        <v>526</v>
      </c>
      <c r="S172" s="1">
        <f>IFERROR(AVERAGE(Rural[[#This Row],[‫دیسمبر‬‏]]:Rural[[#This Row],[‫اكتوبر‬‏]]),"")</f>
        <v>2.7166666666666668</v>
      </c>
      <c r="T172" s="1">
        <f>IFERROR(AVERAGE(Rural[[#This Row],[‫سبتمبر‬‏]]:Rural[[#This Row],[‫یولیو‬‏]]),"")</f>
        <v>2.6766666666666663</v>
      </c>
      <c r="U172" s="1">
        <f>IFERROR(AVERAGE(Rural[[#This Row],[‫یونیو‬‏]]:Rural[[#This Row],[‫ابریل‬‏]]),"")</f>
        <v>2.6333333333333333</v>
      </c>
      <c r="V172" s="1">
        <f>IFERROR(AVERAGE(Rural[[#This Row],[‫مارس‬‏]]:Rural[[#This Row],[‫ینایر‬‏]]),"")</f>
        <v>2.41</v>
      </c>
    </row>
    <row r="173" spans="1:22" x14ac:dyDescent="0.35">
      <c r="A173" s="1">
        <v>27.1</v>
      </c>
      <c r="B173" s="1">
        <v>2.14</v>
      </c>
      <c r="C173" s="1">
        <v>2.71</v>
      </c>
      <c r="D173" s="1">
        <v>2.79</v>
      </c>
      <c r="E173" s="1">
        <v>2.79</v>
      </c>
      <c r="F173" s="1">
        <v>2.88</v>
      </c>
      <c r="G173" s="1">
        <v>2.83</v>
      </c>
      <c r="H173" s="1">
        <v>2.77</v>
      </c>
      <c r="I173" s="1">
        <v>2.7</v>
      </c>
      <c r="J173" s="1">
        <v>2.63</v>
      </c>
      <c r="K173" s="1">
        <v>2.63</v>
      </c>
      <c r="L173" s="1">
        <v>2.69</v>
      </c>
      <c r="M173" s="1">
        <v>2.64</v>
      </c>
      <c r="N173" s="1">
        <v>2.61</v>
      </c>
      <c r="O173" s="1">
        <v>2.61</v>
      </c>
      <c r="P173" t="s">
        <v>405</v>
      </c>
      <c r="Q173" t="s">
        <v>700</v>
      </c>
      <c r="R173" s="1" t="s">
        <v>526</v>
      </c>
      <c r="S173" s="1">
        <f>IFERROR(AVERAGE(Rural[[#This Row],[‫دیسمبر‬‏]]:Rural[[#This Row],[‫اكتوبر‬‏]]),"")</f>
        <v>2.8200000000000003</v>
      </c>
      <c r="T173" s="1">
        <f>IFERROR(AVERAGE(Rural[[#This Row],[‫سبتمبر‬‏]]:Rural[[#This Row],[‫یولیو‬‏]]),"")</f>
        <v>2.7666666666666671</v>
      </c>
      <c r="U173" s="1">
        <f>IFERROR(AVERAGE(Rural[[#This Row],[‫یونیو‬‏]]:Rural[[#This Row],[‫ابریل‬‏]]),"")</f>
        <v>2.65</v>
      </c>
      <c r="V173" s="1">
        <f>IFERROR(AVERAGE(Rural[[#This Row],[‫مارس‬‏]]:Rural[[#This Row],[‫ینایر‬‏]]),"")</f>
        <v>2.6199999999999997</v>
      </c>
    </row>
    <row r="174" spans="1:22" x14ac:dyDescent="0.35">
      <c r="A174" s="1">
        <v>11.3</v>
      </c>
      <c r="B174" s="1">
        <v>7.95</v>
      </c>
      <c r="C174" s="1">
        <v>8.85</v>
      </c>
      <c r="D174" s="1">
        <v>9.0399999999999991</v>
      </c>
      <c r="E174" s="1">
        <v>8.8800000000000008</v>
      </c>
      <c r="F174" s="1">
        <v>9.17</v>
      </c>
      <c r="G174" s="1">
        <v>9</v>
      </c>
      <c r="H174" s="1">
        <v>8.91</v>
      </c>
      <c r="I174" s="1">
        <v>8.68</v>
      </c>
      <c r="J174" s="1">
        <v>8.7799999999999994</v>
      </c>
      <c r="K174" s="1">
        <v>8.7799999999999994</v>
      </c>
      <c r="L174" s="1">
        <v>8.7100000000000009</v>
      </c>
      <c r="M174" s="1">
        <v>8.81</v>
      </c>
      <c r="N174" s="1">
        <v>8.74</v>
      </c>
      <c r="O174" s="1">
        <v>8.74</v>
      </c>
      <c r="P174" t="s">
        <v>701</v>
      </c>
      <c r="Q174" t="s">
        <v>702</v>
      </c>
      <c r="R174" s="1" t="s">
        <v>526</v>
      </c>
      <c r="S174" s="1">
        <f>IFERROR(AVERAGE(Rural[[#This Row],[‫دیسمبر‬‏]]:Rural[[#This Row],[‫اكتوبر‬‏]]),"")</f>
        <v>9.0300000000000011</v>
      </c>
      <c r="T174" s="1">
        <f>IFERROR(AVERAGE(Rural[[#This Row],[‫سبتمبر‬‏]]:Rural[[#This Row],[‫یولیو‬‏]]),"")</f>
        <v>8.8633333333333333</v>
      </c>
      <c r="U174" s="1">
        <f>IFERROR(AVERAGE(Rural[[#This Row],[‫یونیو‬‏]]:Rural[[#This Row],[‫ابریل‬‏]]),"")</f>
        <v>8.7566666666666659</v>
      </c>
      <c r="V174" s="1">
        <f>IFERROR(AVERAGE(Rural[[#This Row],[‫مارس‬‏]]:Rural[[#This Row],[‫ینایر‬‏]]),"")</f>
        <v>8.7633333333333336</v>
      </c>
    </row>
    <row r="175" spans="1:22" x14ac:dyDescent="0.35">
      <c r="A175" s="1">
        <v>12.7</v>
      </c>
      <c r="B175" s="1">
        <v>43.88</v>
      </c>
      <c r="C175" s="1">
        <v>49.46</v>
      </c>
      <c r="D175" s="1">
        <v>50.27</v>
      </c>
      <c r="E175" s="1">
        <v>49.34</v>
      </c>
      <c r="F175" s="1">
        <v>50.88</v>
      </c>
      <c r="G175" s="1">
        <v>50.34</v>
      </c>
      <c r="H175" s="1">
        <v>50.28</v>
      </c>
      <c r="I175" s="1">
        <v>49.73</v>
      </c>
      <c r="J175" s="1">
        <v>49.79</v>
      </c>
      <c r="K175" s="1">
        <v>49.82</v>
      </c>
      <c r="L175" s="1">
        <v>49.39</v>
      </c>
      <c r="M175" s="1">
        <v>48.48</v>
      </c>
      <c r="N175" s="1">
        <v>47.62</v>
      </c>
      <c r="O175" s="1">
        <v>47.55</v>
      </c>
      <c r="P175" t="s">
        <v>25</v>
      </c>
      <c r="Q175" t="s">
        <v>703</v>
      </c>
      <c r="R175" s="1" t="s">
        <v>526</v>
      </c>
      <c r="S175" s="1">
        <f>IFERROR(AVERAGE(Rural[[#This Row],[‫دیسمبر‬‏]]:Rural[[#This Row],[‫اكتوبر‬‏]]),"")</f>
        <v>50.163333333333334</v>
      </c>
      <c r="T175" s="1">
        <f>IFERROR(AVERAGE(Rural[[#This Row],[‫سبتمبر‬‏]]:Rural[[#This Row],[‫یولیو‬‏]]),"")</f>
        <v>50.116666666666667</v>
      </c>
      <c r="U175" s="1">
        <f>IFERROR(AVERAGE(Rural[[#This Row],[‫یونیو‬‏]]:Rural[[#This Row],[‫ابریل‬‏]]),"")</f>
        <v>49.666666666666664</v>
      </c>
      <c r="V175" s="1">
        <f>IFERROR(AVERAGE(Rural[[#This Row],[‫مارس‬‏]]:Rural[[#This Row],[‫ینایر‬‏]]),"")</f>
        <v>47.883333333333326</v>
      </c>
    </row>
    <row r="176" spans="1:22" x14ac:dyDescent="0.35">
      <c r="A176" s="1">
        <v>14.6</v>
      </c>
      <c r="B176" s="1">
        <v>18.45</v>
      </c>
      <c r="C176" s="1">
        <v>21.13</v>
      </c>
      <c r="D176" s="1">
        <v>21.41</v>
      </c>
      <c r="E176" s="1">
        <v>21.56</v>
      </c>
      <c r="F176" s="1">
        <v>21.43</v>
      </c>
      <c r="G176" s="1">
        <v>21.25</v>
      </c>
      <c r="H176" s="1">
        <v>21.14</v>
      </c>
      <c r="I176" s="1">
        <v>21.17</v>
      </c>
      <c r="J176" s="1">
        <v>21.13</v>
      </c>
      <c r="K176" s="1">
        <v>21.16</v>
      </c>
      <c r="L176" s="1">
        <v>21.6</v>
      </c>
      <c r="M176" s="1">
        <v>20.67</v>
      </c>
      <c r="N176" s="1">
        <v>20.6</v>
      </c>
      <c r="O176" s="1">
        <v>20.47</v>
      </c>
      <c r="P176" t="s">
        <v>409</v>
      </c>
      <c r="Q176" t="s">
        <v>704</v>
      </c>
      <c r="R176" s="1" t="s">
        <v>526</v>
      </c>
      <c r="S176" s="1">
        <f>IFERROR(AVERAGE(Rural[[#This Row],[‫دیسمبر‬‏]]:Rural[[#This Row],[‫اكتوبر‬‏]]),"")</f>
        <v>21.466666666666669</v>
      </c>
      <c r="T176" s="1">
        <f>IFERROR(AVERAGE(Rural[[#This Row],[‫سبتمبر‬‏]]:Rural[[#This Row],[‫یولیو‬‏]]),"")</f>
        <v>21.186666666666667</v>
      </c>
      <c r="U176" s="1">
        <f>IFERROR(AVERAGE(Rural[[#This Row],[‫یونیو‬‏]]:Rural[[#This Row],[‫ابریل‬‏]]),"")</f>
        <v>21.296666666666667</v>
      </c>
      <c r="V176" s="1">
        <f>IFERROR(AVERAGE(Rural[[#This Row],[‫مارس‬‏]]:Rural[[#This Row],[‫ینایر‬‏]]),"")</f>
        <v>20.580000000000002</v>
      </c>
    </row>
    <row r="177" spans="1:22" x14ac:dyDescent="0.35">
      <c r="A177" s="1">
        <v>20.399999999999999</v>
      </c>
      <c r="B177" s="1">
        <v>22.16</v>
      </c>
      <c r="C177" s="1">
        <v>26.69</v>
      </c>
      <c r="D177" s="1">
        <v>28.41</v>
      </c>
      <c r="E177" s="1">
        <v>27.7</v>
      </c>
      <c r="F177" s="1">
        <v>27.67</v>
      </c>
      <c r="G177" s="1">
        <v>27.22</v>
      </c>
      <c r="H177" s="1">
        <v>27.26</v>
      </c>
      <c r="I177" s="1">
        <v>27.24</v>
      </c>
      <c r="J177" s="1">
        <v>26.85</v>
      </c>
      <c r="K177" s="1">
        <v>26.58</v>
      </c>
      <c r="L177" s="1">
        <v>25.79</v>
      </c>
      <c r="M177" s="1">
        <v>25.45</v>
      </c>
      <c r="N177" s="1">
        <v>25.2</v>
      </c>
      <c r="O177" s="1">
        <v>24.9</v>
      </c>
      <c r="P177" t="s">
        <v>409</v>
      </c>
      <c r="Q177" t="s">
        <v>705</v>
      </c>
      <c r="R177" s="1" t="s">
        <v>526</v>
      </c>
      <c r="S177" s="1">
        <f>IFERROR(AVERAGE(Rural[[#This Row],[‫دیسمبر‬‏]]:Rural[[#This Row],[‫اكتوبر‬‏]]),"")</f>
        <v>27.926666666666666</v>
      </c>
      <c r="T177" s="1">
        <f>IFERROR(AVERAGE(Rural[[#This Row],[‫سبتمبر‬‏]]:Rural[[#This Row],[‫یولیو‬‏]]),"")</f>
        <v>27.24</v>
      </c>
      <c r="U177" s="1">
        <f>IFERROR(AVERAGE(Rural[[#This Row],[‫یونیو‬‏]]:Rural[[#This Row],[‫ابریل‬‏]]),"")</f>
        <v>26.406666666666666</v>
      </c>
      <c r="V177" s="1">
        <f>IFERROR(AVERAGE(Rural[[#This Row],[‫مارس‬‏]]:Rural[[#This Row],[‫ینایر‬‏]]),"")</f>
        <v>25.183333333333334</v>
      </c>
    </row>
    <row r="178" spans="1:22" x14ac:dyDescent="0.35">
      <c r="A178" s="1">
        <v>20.5</v>
      </c>
      <c r="B178" s="1">
        <v>23.02</v>
      </c>
      <c r="C178" s="1">
        <v>27.74</v>
      </c>
      <c r="D178" s="1">
        <v>29.19</v>
      </c>
      <c r="E178" s="1">
        <v>28.81</v>
      </c>
      <c r="F178" s="1">
        <v>28.72</v>
      </c>
      <c r="G178" s="1">
        <v>28.59</v>
      </c>
      <c r="H178" s="1">
        <v>28.17</v>
      </c>
      <c r="I178" s="1">
        <v>28.09</v>
      </c>
      <c r="J178" s="1">
        <v>27.63</v>
      </c>
      <c r="K178" s="1">
        <v>27.37</v>
      </c>
      <c r="L178" s="1">
        <v>26.49</v>
      </c>
      <c r="M178" s="1">
        <v>26.75</v>
      </c>
      <c r="N178" s="1">
        <v>26.65</v>
      </c>
      <c r="O178" s="1">
        <v>26.44</v>
      </c>
      <c r="P178" t="s">
        <v>409</v>
      </c>
      <c r="Q178" t="s">
        <v>706</v>
      </c>
      <c r="R178" s="1" t="s">
        <v>526</v>
      </c>
      <c r="S178" s="1">
        <f>IFERROR(AVERAGE(Rural[[#This Row],[‫دیسمبر‬‏]]:Rural[[#This Row],[‫اكتوبر‬‏]]),"")</f>
        <v>28.906666666666666</v>
      </c>
      <c r="T178" s="1">
        <f>IFERROR(AVERAGE(Rural[[#This Row],[‫سبتمبر‬‏]]:Rural[[#This Row],[‫یولیو‬‏]]),"")</f>
        <v>28.283333333333335</v>
      </c>
      <c r="U178" s="1">
        <f>IFERROR(AVERAGE(Rural[[#This Row],[‫یونیو‬‏]]:Rural[[#This Row],[‫ابریل‬‏]]),"")</f>
        <v>27.16333333333333</v>
      </c>
      <c r="V178" s="1">
        <f>IFERROR(AVERAGE(Rural[[#This Row],[‫مارس‬‏]]:Rural[[#This Row],[‫ینایر‬‏]]),"")</f>
        <v>26.613333333333333</v>
      </c>
    </row>
    <row r="179" spans="1:22" x14ac:dyDescent="0.35">
      <c r="A179" s="1">
        <v>21.1</v>
      </c>
      <c r="B179" s="1">
        <v>20.12</v>
      </c>
      <c r="C179" s="1">
        <v>24.36</v>
      </c>
      <c r="D179" s="1">
        <v>25.33</v>
      </c>
      <c r="E179" s="1">
        <v>25.16</v>
      </c>
      <c r="F179" s="1">
        <v>25.15</v>
      </c>
      <c r="G179" s="1">
        <v>25.09</v>
      </c>
      <c r="H179" s="1">
        <v>24.93</v>
      </c>
      <c r="I179" s="1">
        <v>24.65</v>
      </c>
      <c r="J179" s="1">
        <v>24.33</v>
      </c>
      <c r="K179" s="1">
        <v>24</v>
      </c>
      <c r="L179" s="1">
        <v>24.68</v>
      </c>
      <c r="M179" s="1">
        <v>23.13</v>
      </c>
      <c r="N179" s="1">
        <v>23.05</v>
      </c>
      <c r="O179" s="1">
        <v>22.86</v>
      </c>
      <c r="P179" t="s">
        <v>409</v>
      </c>
      <c r="Q179" t="s">
        <v>707</v>
      </c>
      <c r="R179" s="1" t="s">
        <v>526</v>
      </c>
      <c r="S179" s="1">
        <f>IFERROR(AVERAGE(Rural[[#This Row],[‫دیسمبر‬‏]]:Rural[[#This Row],[‫اكتوبر‬‏]]),"")</f>
        <v>25.213333333333328</v>
      </c>
      <c r="T179" s="1">
        <f>IFERROR(AVERAGE(Rural[[#This Row],[‫سبتمبر‬‏]]:Rural[[#This Row],[‫یولیو‬‏]]),"")</f>
        <v>24.889999999999997</v>
      </c>
      <c r="U179" s="1">
        <f>IFERROR(AVERAGE(Rural[[#This Row],[‫یونیو‬‏]]:Rural[[#This Row],[‫ابریل‬‏]]),"")</f>
        <v>24.336666666666662</v>
      </c>
      <c r="V179" s="1">
        <f>IFERROR(AVERAGE(Rural[[#This Row],[‫مارس‬‏]]:Rural[[#This Row],[‫ینایر‬‏]]),"")</f>
        <v>23.013333333333332</v>
      </c>
    </row>
    <row r="180" spans="1:22" x14ac:dyDescent="0.35">
      <c r="A180" s="1">
        <v>14.6</v>
      </c>
      <c r="B180" s="1">
        <v>32.78</v>
      </c>
      <c r="C180" s="1">
        <v>37.549999999999997</v>
      </c>
      <c r="D180" s="1">
        <v>38.31</v>
      </c>
      <c r="E180" s="1">
        <v>38.299999999999997</v>
      </c>
      <c r="F180" s="1">
        <v>38.299999999999997</v>
      </c>
      <c r="G180" s="1">
        <v>38.14</v>
      </c>
      <c r="H180" s="1">
        <v>37.97</v>
      </c>
      <c r="I180" s="1">
        <v>37.86</v>
      </c>
      <c r="J180" s="1">
        <v>37.880000000000003</v>
      </c>
      <c r="K180" s="1">
        <v>37.71</v>
      </c>
      <c r="L180" s="1">
        <v>36.15</v>
      </c>
      <c r="M180" s="1">
        <v>37.03</v>
      </c>
      <c r="N180" s="1">
        <v>36.479999999999997</v>
      </c>
      <c r="O180" s="1">
        <v>36.49</v>
      </c>
      <c r="P180" t="s">
        <v>387</v>
      </c>
      <c r="Q180" t="s">
        <v>708</v>
      </c>
      <c r="R180" s="1" t="s">
        <v>526</v>
      </c>
      <c r="S180" s="1">
        <f>IFERROR(AVERAGE(Rural[[#This Row],[‫دیسمبر‬‏]]:Rural[[#This Row],[‫اكتوبر‬‏]]),"")</f>
        <v>38.303333333333335</v>
      </c>
      <c r="T180" s="1">
        <f>IFERROR(AVERAGE(Rural[[#This Row],[‫سبتمبر‬‏]]:Rural[[#This Row],[‫یولیو‬‏]]),"")</f>
        <v>37.99</v>
      </c>
      <c r="U180" s="1">
        <f>IFERROR(AVERAGE(Rural[[#This Row],[‫یونیو‬‏]]:Rural[[#This Row],[‫ابریل‬‏]]),"")</f>
        <v>37.24666666666667</v>
      </c>
      <c r="V180" s="1">
        <f>IFERROR(AVERAGE(Rural[[#This Row],[‫مارس‬‏]]:Rural[[#This Row],[‫ینایر‬‏]]),"")</f>
        <v>36.666666666666664</v>
      </c>
    </row>
    <row r="181" spans="1:22" x14ac:dyDescent="0.35">
      <c r="A181" s="1">
        <v>9.1</v>
      </c>
      <c r="B181" s="1">
        <v>53.84</v>
      </c>
      <c r="C181" s="1">
        <v>58.76</v>
      </c>
      <c r="D181" s="1">
        <v>59.67</v>
      </c>
      <c r="E181" s="1">
        <v>59.53</v>
      </c>
      <c r="F181" s="1">
        <v>59.53</v>
      </c>
      <c r="G181" s="1">
        <v>59.3</v>
      </c>
      <c r="H181" s="1">
        <v>59.01</v>
      </c>
      <c r="I181" s="1">
        <v>58.97</v>
      </c>
      <c r="J181" s="1">
        <v>58.92</v>
      </c>
      <c r="K181" s="1">
        <v>58.82</v>
      </c>
      <c r="L181" s="1">
        <v>57.36</v>
      </c>
      <c r="M181" s="1">
        <v>58.62</v>
      </c>
      <c r="N181" s="1">
        <v>57.71</v>
      </c>
      <c r="O181" s="1">
        <v>57.63</v>
      </c>
      <c r="P181" t="s">
        <v>709</v>
      </c>
      <c r="Q181" t="s">
        <v>710</v>
      </c>
      <c r="R181" s="1" t="s">
        <v>526</v>
      </c>
      <c r="S181" s="1">
        <f>IFERROR(AVERAGE(Rural[[#This Row],[‫دیسمبر‬‏]]:Rural[[#This Row],[‫اكتوبر‬‏]]),"")</f>
        <v>59.576666666666675</v>
      </c>
      <c r="T181" s="1">
        <f>IFERROR(AVERAGE(Rural[[#This Row],[‫سبتمبر‬‏]]:Rural[[#This Row],[‫یولیو‬‏]]),"")</f>
        <v>59.093333333333334</v>
      </c>
      <c r="U181" s="1">
        <f>IFERROR(AVERAGE(Rural[[#This Row],[‫یونیو‬‏]]:Rural[[#This Row],[‫ابریل‬‏]]),"")</f>
        <v>58.366666666666674</v>
      </c>
      <c r="V181" s="1">
        <f>IFERROR(AVERAGE(Rural[[#This Row],[‫مارس‬‏]]:Rural[[#This Row],[‫ینایر‬‏]]),"")</f>
        <v>57.986666666666672</v>
      </c>
    </row>
    <row r="182" spans="1:22" x14ac:dyDescent="0.35">
      <c r="A182" s="1">
        <v>3</v>
      </c>
      <c r="B182" s="1">
        <v>49.58</v>
      </c>
      <c r="C182" s="1">
        <v>51.07</v>
      </c>
      <c r="D182" s="1">
        <v>50.79</v>
      </c>
      <c r="E182" s="1">
        <v>50.79</v>
      </c>
      <c r="F182" s="1">
        <v>50.8</v>
      </c>
      <c r="G182" s="1">
        <v>51.32</v>
      </c>
      <c r="H182" s="1">
        <v>51.32</v>
      </c>
      <c r="I182" s="1">
        <v>51.55</v>
      </c>
      <c r="J182" s="1">
        <v>51.12</v>
      </c>
      <c r="K182" s="1">
        <v>50.93</v>
      </c>
      <c r="L182" s="1">
        <v>49.81</v>
      </c>
      <c r="M182" s="1">
        <v>51.04</v>
      </c>
      <c r="N182" s="1">
        <v>51.04</v>
      </c>
      <c r="O182" s="1">
        <v>52.29</v>
      </c>
      <c r="P182" t="s">
        <v>436</v>
      </c>
      <c r="Q182" t="s">
        <v>711</v>
      </c>
      <c r="R182" s="1" t="s">
        <v>526</v>
      </c>
      <c r="S182" s="1">
        <f>IFERROR(AVERAGE(Rural[[#This Row],[‫دیسمبر‬‏]]:Rural[[#This Row],[‫اكتوبر‬‏]]),"")</f>
        <v>50.793333333333329</v>
      </c>
      <c r="T182" s="1">
        <f>IFERROR(AVERAGE(Rural[[#This Row],[‫سبتمبر‬‏]]:Rural[[#This Row],[‫یولیو‬‏]]),"")</f>
        <v>51.396666666666668</v>
      </c>
      <c r="U182" s="1">
        <f>IFERROR(AVERAGE(Rural[[#This Row],[‫یونیو‬‏]]:Rural[[#This Row],[‫ابریل‬‏]]),"")</f>
        <v>50.620000000000005</v>
      </c>
      <c r="V182" s="1">
        <f>IFERROR(AVERAGE(Rural[[#This Row],[‫مارس‬‏]]:Rural[[#This Row],[‫ینایر‬‏]]),"")</f>
        <v>51.456666666666671</v>
      </c>
    </row>
    <row r="183" spans="1:22" x14ac:dyDescent="0.35">
      <c r="A183" s="1">
        <v>1.3</v>
      </c>
      <c r="B183" s="1">
        <v>10.74</v>
      </c>
      <c r="C183" s="1">
        <v>10.88</v>
      </c>
      <c r="D183" s="1">
        <v>10.8</v>
      </c>
      <c r="E183" s="1">
        <v>10.8</v>
      </c>
      <c r="F183" s="1">
        <v>10.83</v>
      </c>
      <c r="G183" s="1">
        <v>10.93</v>
      </c>
      <c r="H183" s="1">
        <v>10.93</v>
      </c>
      <c r="I183" s="1">
        <v>10.93</v>
      </c>
      <c r="J183" s="1">
        <v>10.88</v>
      </c>
      <c r="K183" s="1">
        <v>10.88</v>
      </c>
      <c r="L183" s="1">
        <v>10.8</v>
      </c>
      <c r="M183" s="1">
        <v>10.91</v>
      </c>
      <c r="N183" s="1">
        <v>10.93</v>
      </c>
      <c r="O183" s="1">
        <v>10.93</v>
      </c>
      <c r="P183" t="s">
        <v>438</v>
      </c>
      <c r="Q183" t="s">
        <v>712</v>
      </c>
      <c r="R183" s="1" t="s">
        <v>526</v>
      </c>
      <c r="S183" s="1">
        <f>IFERROR(AVERAGE(Rural[[#This Row],[‫دیسمبر‬‏]]:Rural[[#This Row],[‫اكتوبر‬‏]]),"")</f>
        <v>10.81</v>
      </c>
      <c r="T183" s="1">
        <f>IFERROR(AVERAGE(Rural[[#This Row],[‫سبتمبر‬‏]]:Rural[[#This Row],[‫یولیو‬‏]]),"")</f>
        <v>10.93</v>
      </c>
      <c r="U183" s="1">
        <f>IFERROR(AVERAGE(Rural[[#This Row],[‫یونیو‬‏]]:Rural[[#This Row],[‫ابریل‬‏]]),"")</f>
        <v>10.853333333333333</v>
      </c>
      <c r="V183" s="1">
        <f>IFERROR(AVERAGE(Rural[[#This Row],[‫مارس‬‏]]:Rural[[#This Row],[‫ینایر‬‏]]),"")</f>
        <v>10.923333333333332</v>
      </c>
    </row>
    <row r="184" spans="1:22" x14ac:dyDescent="0.35">
      <c r="A184" s="1">
        <v>5.3</v>
      </c>
      <c r="B184" s="1">
        <v>32.67</v>
      </c>
      <c r="C184" s="1">
        <v>34.380000000000003</v>
      </c>
      <c r="D184" s="1">
        <v>34.31</v>
      </c>
      <c r="E184" s="1">
        <v>34.31</v>
      </c>
      <c r="F184" s="1">
        <v>34.35</v>
      </c>
      <c r="G184" s="1">
        <v>34.51</v>
      </c>
      <c r="H184" s="1">
        <v>34.51</v>
      </c>
      <c r="I184" s="1">
        <v>34.53</v>
      </c>
      <c r="J184" s="1">
        <v>34.299999999999997</v>
      </c>
      <c r="K184" s="1">
        <v>34.25</v>
      </c>
      <c r="L184" s="1">
        <v>34.39</v>
      </c>
      <c r="M184" s="1">
        <v>34.31</v>
      </c>
      <c r="N184" s="1">
        <v>34.26</v>
      </c>
      <c r="O184" s="1">
        <v>34.549999999999997</v>
      </c>
      <c r="P184" t="s">
        <v>427</v>
      </c>
      <c r="Q184" t="s">
        <v>713</v>
      </c>
      <c r="R184" s="1" t="s">
        <v>526</v>
      </c>
      <c r="S184" s="1">
        <f>IFERROR(AVERAGE(Rural[[#This Row],[‫دیسمبر‬‏]]:Rural[[#This Row],[‫اكتوبر‬‏]]),"")</f>
        <v>34.323333333333331</v>
      </c>
      <c r="T184" s="1">
        <f>IFERROR(AVERAGE(Rural[[#This Row],[‫سبتمبر‬‏]]:Rural[[#This Row],[‫یولیو‬‏]]),"")</f>
        <v>34.516666666666666</v>
      </c>
      <c r="U184" s="1">
        <f>IFERROR(AVERAGE(Rural[[#This Row],[‫یونیو‬‏]]:Rural[[#This Row],[‫ابریل‬‏]]),"")</f>
        <v>34.313333333333333</v>
      </c>
      <c r="V184" s="1">
        <f>IFERROR(AVERAGE(Rural[[#This Row],[‫مارس‬‏]]:Rural[[#This Row],[‫ینایر‬‏]]),"")</f>
        <v>34.373333333333328</v>
      </c>
    </row>
    <row r="185" spans="1:22" x14ac:dyDescent="0.35">
      <c r="A185" s="1">
        <v>4.2</v>
      </c>
      <c r="B185" s="1">
        <v>31.77</v>
      </c>
      <c r="C185" s="1">
        <v>33.090000000000003</v>
      </c>
      <c r="D185" s="1">
        <v>32.69</v>
      </c>
      <c r="E185" s="1">
        <v>32.69</v>
      </c>
      <c r="F185" s="1">
        <v>32.68</v>
      </c>
      <c r="G185" s="1">
        <v>33.21</v>
      </c>
      <c r="H185" s="1">
        <v>33.200000000000003</v>
      </c>
      <c r="I185" s="1">
        <v>33.21</v>
      </c>
      <c r="J185" s="1">
        <v>32.97</v>
      </c>
      <c r="K185" s="1">
        <v>33.01</v>
      </c>
      <c r="L185" s="1">
        <v>33.01</v>
      </c>
      <c r="M185" s="1">
        <v>33.07</v>
      </c>
      <c r="N185" s="1">
        <v>33.04</v>
      </c>
      <c r="O185" s="1">
        <v>34.340000000000003</v>
      </c>
      <c r="P185" t="s">
        <v>427</v>
      </c>
      <c r="Q185" t="s">
        <v>714</v>
      </c>
      <c r="R185" s="1" t="s">
        <v>526</v>
      </c>
      <c r="S185" s="1">
        <f>IFERROR(AVERAGE(Rural[[#This Row],[‫دیسمبر‬‏]]:Rural[[#This Row],[‫اكتوبر‬‏]]),"")</f>
        <v>32.686666666666667</v>
      </c>
      <c r="T185" s="1">
        <f>IFERROR(AVERAGE(Rural[[#This Row],[‫سبتمبر‬‏]]:Rural[[#This Row],[‫یولیو‬‏]]),"")</f>
        <v>33.206666666666671</v>
      </c>
      <c r="U185" s="1">
        <f>IFERROR(AVERAGE(Rural[[#This Row],[‫یونیو‬‏]]:Rural[[#This Row],[‫ابریل‬‏]]),"")</f>
        <v>32.996666666666663</v>
      </c>
      <c r="V185" s="1">
        <f>IFERROR(AVERAGE(Rural[[#This Row],[‫مارس‬‏]]:Rural[[#This Row],[‫ینایر‬‏]]),"")</f>
        <v>33.483333333333334</v>
      </c>
    </row>
    <row r="186" spans="1:22" x14ac:dyDescent="0.35">
      <c r="A186" s="1">
        <v>8.9</v>
      </c>
      <c r="B186" s="1">
        <v>36.04</v>
      </c>
      <c r="C186" s="1">
        <v>39.25</v>
      </c>
      <c r="D186" s="1">
        <v>39.880000000000003</v>
      </c>
      <c r="E186" s="1">
        <v>39.799999999999997</v>
      </c>
      <c r="F186" s="1">
        <v>39.83</v>
      </c>
      <c r="G186" s="1">
        <v>39.79</v>
      </c>
      <c r="H186" s="1">
        <v>39.76</v>
      </c>
      <c r="I186" s="1">
        <v>39.76</v>
      </c>
      <c r="J186" s="1">
        <v>39.51</v>
      </c>
      <c r="K186" s="1">
        <v>39.24</v>
      </c>
      <c r="L186" s="1">
        <v>36.520000000000003</v>
      </c>
      <c r="M186" s="1">
        <v>39.01</v>
      </c>
      <c r="N186" s="1">
        <v>38.94</v>
      </c>
      <c r="O186" s="1">
        <v>38.93</v>
      </c>
      <c r="P186" t="s">
        <v>440</v>
      </c>
      <c r="Q186" t="s">
        <v>715</v>
      </c>
      <c r="R186" s="1" t="s">
        <v>526</v>
      </c>
      <c r="S186" s="1">
        <f>IFERROR(AVERAGE(Rural[[#This Row],[‫دیسمبر‬‏]]:Rural[[#This Row],[‫اكتوبر‬‏]]),"")</f>
        <v>39.836666666666666</v>
      </c>
      <c r="T186" s="1">
        <f>IFERROR(AVERAGE(Rural[[#This Row],[‫سبتمبر‬‏]]:Rural[[#This Row],[‫یولیو‬‏]]),"")</f>
        <v>39.770000000000003</v>
      </c>
      <c r="U186" s="1">
        <f>IFERROR(AVERAGE(Rural[[#This Row],[‫یونیو‬‏]]:Rural[[#This Row],[‫ابریل‬‏]]),"")</f>
        <v>38.423333333333339</v>
      </c>
      <c r="V186" s="1">
        <f>IFERROR(AVERAGE(Rural[[#This Row],[‫مارس‬‏]]:Rural[[#This Row],[‫ینایر‬‏]]),"")</f>
        <v>38.96</v>
      </c>
    </row>
    <row r="187" spans="1:22" x14ac:dyDescent="0.35">
      <c r="A187" s="1">
        <v>8.1</v>
      </c>
      <c r="B187" s="1">
        <v>32.01</v>
      </c>
      <c r="C187" s="1">
        <v>34.590000000000003</v>
      </c>
      <c r="D187" s="1">
        <v>35.229999999999997</v>
      </c>
      <c r="E187" s="1">
        <v>35.130000000000003</v>
      </c>
      <c r="F187" s="1">
        <v>35.159999999999997</v>
      </c>
      <c r="G187" s="1">
        <v>35.130000000000003</v>
      </c>
      <c r="H187" s="1">
        <v>35.1</v>
      </c>
      <c r="I187" s="1">
        <v>35.1</v>
      </c>
      <c r="J187" s="1">
        <v>34.94</v>
      </c>
      <c r="K187" s="1">
        <v>34.65</v>
      </c>
      <c r="L187" s="1">
        <v>31.55</v>
      </c>
      <c r="M187" s="1">
        <v>34.36</v>
      </c>
      <c r="N187" s="1">
        <v>34.35</v>
      </c>
      <c r="O187" s="1">
        <v>34.33</v>
      </c>
      <c r="P187" t="s">
        <v>442</v>
      </c>
      <c r="Q187" t="s">
        <v>716</v>
      </c>
      <c r="R187" s="1" t="s">
        <v>526</v>
      </c>
      <c r="S187" s="1">
        <f>IFERROR(AVERAGE(Rural[[#This Row],[‫دیسمبر‬‏]]:Rural[[#This Row],[‫اكتوبر‬‏]]),"")</f>
        <v>35.173333333333332</v>
      </c>
      <c r="T187" s="1">
        <f>IFERROR(AVERAGE(Rural[[#This Row],[‫سبتمبر‬‏]]:Rural[[#This Row],[‫یولیو‬‏]]),"")</f>
        <v>35.110000000000007</v>
      </c>
      <c r="U187" s="1">
        <f>IFERROR(AVERAGE(Rural[[#This Row],[‫یونیو‬‏]]:Rural[[#This Row],[‫ابریل‬‏]]),"")</f>
        <v>33.713333333333331</v>
      </c>
      <c r="V187" s="1">
        <f>IFERROR(AVERAGE(Rural[[#This Row],[‫مارس‬‏]]:Rural[[#This Row],[‫ینایر‬‏]]),"")</f>
        <v>34.346666666666671</v>
      </c>
    </row>
    <row r="188" spans="1:22" x14ac:dyDescent="0.35">
      <c r="A188" s="1">
        <v>19.7</v>
      </c>
      <c r="B188" s="1">
        <v>318.47000000000003</v>
      </c>
      <c r="C188" s="1">
        <v>381.33</v>
      </c>
      <c r="D188" s="1">
        <v>388.84</v>
      </c>
      <c r="E188" s="1">
        <v>388.23</v>
      </c>
      <c r="F188" s="1">
        <v>387.62</v>
      </c>
      <c r="G188" s="1">
        <v>387.63</v>
      </c>
      <c r="H188" s="1">
        <v>384.71</v>
      </c>
      <c r="I188" s="1">
        <v>387.16</v>
      </c>
      <c r="J188" s="1">
        <v>386.52</v>
      </c>
      <c r="K188" s="1">
        <v>383</v>
      </c>
      <c r="L188" s="1">
        <v>369.08</v>
      </c>
      <c r="M188" s="1">
        <v>377.78</v>
      </c>
      <c r="N188" s="1">
        <v>371.75</v>
      </c>
      <c r="O188" s="1">
        <v>363.61</v>
      </c>
      <c r="P188" t="s">
        <v>25</v>
      </c>
      <c r="Q188" t="s">
        <v>717</v>
      </c>
      <c r="R188" s="1" t="s">
        <v>526</v>
      </c>
      <c r="S188" s="1">
        <f>IFERROR(AVERAGE(Rural[[#This Row],[‫دیسمبر‬‏]]:Rural[[#This Row],[‫اكتوبر‬‏]]),"")</f>
        <v>388.23</v>
      </c>
      <c r="T188" s="1">
        <f>IFERROR(AVERAGE(Rural[[#This Row],[‫سبتمبر‬‏]]:Rural[[#This Row],[‫یولیو‬‏]]),"")</f>
        <v>386.5</v>
      </c>
      <c r="U188" s="1">
        <f>IFERROR(AVERAGE(Rural[[#This Row],[‫یونیو‬‏]]:Rural[[#This Row],[‫ابریل‬‏]]),"")</f>
        <v>379.5333333333333</v>
      </c>
      <c r="V188" s="1">
        <f>IFERROR(AVERAGE(Rural[[#This Row],[‫مارس‬‏]]:Rural[[#This Row],[‫ینایر‬‏]]),"")</f>
        <v>371.04666666666662</v>
      </c>
    </row>
    <row r="189" spans="1:22" x14ac:dyDescent="0.35">
      <c r="A189" s="1">
        <v>7.1</v>
      </c>
      <c r="B189" s="1">
        <v>319.02</v>
      </c>
      <c r="C189" s="1">
        <v>341.68</v>
      </c>
      <c r="D189" s="1">
        <v>336.29</v>
      </c>
      <c r="E189" s="1">
        <v>339.28</v>
      </c>
      <c r="F189" s="1">
        <v>340.2</v>
      </c>
      <c r="G189" s="1">
        <v>340.82</v>
      </c>
      <c r="H189" s="1">
        <v>342.07</v>
      </c>
      <c r="I189" s="1">
        <v>344.79</v>
      </c>
      <c r="J189" s="1">
        <v>346.83</v>
      </c>
      <c r="K189" s="1">
        <v>345.71</v>
      </c>
      <c r="L189" s="1">
        <v>342.02</v>
      </c>
      <c r="M189" s="1">
        <v>344.81</v>
      </c>
      <c r="N189" s="1">
        <v>341.1</v>
      </c>
      <c r="O189" s="1">
        <v>336.22</v>
      </c>
      <c r="P189" t="s">
        <v>25</v>
      </c>
      <c r="Q189" t="s">
        <v>718</v>
      </c>
      <c r="R189" s="1" t="s">
        <v>526</v>
      </c>
      <c r="S189" s="1">
        <f>IFERROR(AVERAGE(Rural[[#This Row],[‫دیسمبر‬‏]]:Rural[[#This Row],[‫اكتوبر‬‏]]),"")</f>
        <v>338.59</v>
      </c>
      <c r="T189" s="1">
        <f>IFERROR(AVERAGE(Rural[[#This Row],[‫سبتمبر‬‏]]:Rural[[#This Row],[‫یولیو‬‏]]),"")</f>
        <v>342.56</v>
      </c>
      <c r="U189" s="1">
        <f>IFERROR(AVERAGE(Rural[[#This Row],[‫یونیو‬‏]]:Rural[[#This Row],[‫ابریل‬‏]]),"")</f>
        <v>344.8533333333333</v>
      </c>
      <c r="V189" s="1">
        <f>IFERROR(AVERAGE(Rural[[#This Row],[‫مارس‬‏]]:Rural[[#This Row],[‫ینایر‬‏]]),"")</f>
        <v>340.71000000000004</v>
      </c>
    </row>
    <row r="190" spans="1:22" x14ac:dyDescent="0.35">
      <c r="A190" s="1">
        <v>9.9</v>
      </c>
      <c r="B190" s="1">
        <v>212.42</v>
      </c>
      <c r="C190" s="1">
        <v>233.5</v>
      </c>
      <c r="D190" s="1">
        <v>235.66</v>
      </c>
      <c r="E190" s="1">
        <v>236.22</v>
      </c>
      <c r="F190" s="1">
        <v>235.16</v>
      </c>
      <c r="G190" s="1">
        <v>233.87</v>
      </c>
      <c r="H190" s="1">
        <v>233.18</v>
      </c>
      <c r="I190" s="1">
        <v>234.44</v>
      </c>
      <c r="J190" s="1">
        <v>234.71</v>
      </c>
      <c r="K190" s="1">
        <v>234</v>
      </c>
      <c r="L190" s="1">
        <v>227.53</v>
      </c>
      <c r="M190" s="1">
        <v>233.54</v>
      </c>
      <c r="N190" s="1">
        <v>232.48</v>
      </c>
      <c r="O190" s="1">
        <v>231.19</v>
      </c>
      <c r="P190" t="s">
        <v>25</v>
      </c>
      <c r="Q190" t="s">
        <v>719</v>
      </c>
      <c r="R190" s="1" t="s">
        <v>526</v>
      </c>
      <c r="S190" s="1">
        <f>IFERROR(AVERAGE(Rural[[#This Row],[‫دیسمبر‬‏]]:Rural[[#This Row],[‫اكتوبر‬‏]]),"")</f>
        <v>235.67999999999998</v>
      </c>
      <c r="T190" s="1">
        <f>IFERROR(AVERAGE(Rural[[#This Row],[‫سبتمبر‬‏]]:Rural[[#This Row],[‫یولیو‬‏]]),"")</f>
        <v>233.83</v>
      </c>
      <c r="U190" s="1">
        <f>IFERROR(AVERAGE(Rural[[#This Row],[‫یونیو‬‏]]:Rural[[#This Row],[‫ابریل‬‏]]),"")</f>
        <v>232.08</v>
      </c>
      <c r="V190" s="1">
        <f>IFERROR(AVERAGE(Rural[[#This Row],[‫مارس‬‏]]:Rural[[#This Row],[‫ینایر‬‏]]),"")</f>
        <v>232.40333333333334</v>
      </c>
    </row>
    <row r="191" spans="1:22" x14ac:dyDescent="0.35">
      <c r="A191" s="1">
        <v>18.100000000000001</v>
      </c>
      <c r="B191" s="1">
        <v>186.61</v>
      </c>
      <c r="C191" s="1">
        <v>220.37</v>
      </c>
      <c r="D191" s="1">
        <v>224.66</v>
      </c>
      <c r="E191" s="1">
        <v>224.99</v>
      </c>
      <c r="F191" s="1">
        <v>223.47</v>
      </c>
      <c r="G191" s="1">
        <v>221.74</v>
      </c>
      <c r="H191" s="1">
        <v>221.05</v>
      </c>
      <c r="I191" s="1">
        <v>220.65</v>
      </c>
      <c r="J191" s="1">
        <v>221.15</v>
      </c>
      <c r="K191" s="1">
        <v>221.72</v>
      </c>
      <c r="L191" s="1">
        <v>219.12</v>
      </c>
      <c r="M191" s="1">
        <v>219.85</v>
      </c>
      <c r="N191" s="1">
        <v>214.33</v>
      </c>
      <c r="O191" s="1">
        <v>211.71</v>
      </c>
      <c r="P191" t="s">
        <v>25</v>
      </c>
      <c r="Q191" t="s">
        <v>720</v>
      </c>
      <c r="R191" s="1" t="s">
        <v>526</v>
      </c>
      <c r="S191" s="1">
        <f>IFERROR(AVERAGE(Rural[[#This Row],[‫دیسمبر‬‏]]:Rural[[#This Row],[‫اكتوبر‬‏]]),"")</f>
        <v>224.37333333333333</v>
      </c>
      <c r="T191" s="1">
        <f>IFERROR(AVERAGE(Rural[[#This Row],[‫سبتمبر‬‏]]:Rural[[#This Row],[‫یولیو‬‏]]),"")</f>
        <v>221.14666666666668</v>
      </c>
      <c r="U191" s="1">
        <f>IFERROR(AVERAGE(Rural[[#This Row],[‫یونیو‬‏]]:Rural[[#This Row],[‫ابریل‬‏]]),"")</f>
        <v>220.66333333333333</v>
      </c>
      <c r="V191" s="1">
        <f>IFERROR(AVERAGE(Rural[[#This Row],[‫مارس‬‏]]:Rural[[#This Row],[‫ینایر‬‏]]),"")</f>
        <v>215.29666666666665</v>
      </c>
    </row>
    <row r="192" spans="1:22" x14ac:dyDescent="0.35">
      <c r="A192" s="1">
        <v>4.7</v>
      </c>
      <c r="B192" s="1">
        <v>185.13</v>
      </c>
      <c r="C192" s="1">
        <v>193.75</v>
      </c>
      <c r="D192" s="1">
        <v>197.53</v>
      </c>
      <c r="E192" s="1">
        <v>196.74</v>
      </c>
      <c r="F192" s="1">
        <v>195.73</v>
      </c>
      <c r="G192" s="1">
        <v>194</v>
      </c>
      <c r="H192" s="1">
        <v>192.91</v>
      </c>
      <c r="I192" s="1">
        <v>193.56</v>
      </c>
      <c r="J192" s="1">
        <v>193.55</v>
      </c>
      <c r="K192" s="1">
        <v>193.84</v>
      </c>
      <c r="L192" s="1">
        <v>185.71</v>
      </c>
      <c r="M192" s="1">
        <v>193.47</v>
      </c>
      <c r="N192" s="1">
        <v>194.39</v>
      </c>
      <c r="O192" s="1">
        <v>193.58</v>
      </c>
      <c r="P192" t="s">
        <v>25</v>
      </c>
      <c r="Q192" t="s">
        <v>721</v>
      </c>
      <c r="R192" s="1" t="s">
        <v>526</v>
      </c>
      <c r="S192" s="1">
        <f>IFERROR(AVERAGE(Rural[[#This Row],[‫دیسمبر‬‏]]:Rural[[#This Row],[‫اكتوبر‬‏]]),"")</f>
        <v>196.66666666666666</v>
      </c>
      <c r="T192" s="1">
        <f>IFERROR(AVERAGE(Rural[[#This Row],[‫سبتمبر‬‏]]:Rural[[#This Row],[‫یولیو‬‏]]),"")</f>
        <v>193.49</v>
      </c>
      <c r="U192" s="1">
        <f>IFERROR(AVERAGE(Rural[[#This Row],[‫یونیو‬‏]]:Rural[[#This Row],[‫ابریل‬‏]]),"")</f>
        <v>191.03333333333333</v>
      </c>
      <c r="V192" s="1">
        <f>IFERROR(AVERAGE(Rural[[#This Row],[‫مارس‬‏]]:Rural[[#This Row],[‫ینایر‬‏]]),"")</f>
        <v>193.81333333333336</v>
      </c>
    </row>
    <row r="193" spans="1:22" x14ac:dyDescent="0.35">
      <c r="A193" s="1">
        <v>15.4</v>
      </c>
      <c r="B193" s="1">
        <v>64.14</v>
      </c>
      <c r="C193" s="1">
        <v>74.040000000000006</v>
      </c>
      <c r="D193" s="1">
        <v>77.95</v>
      </c>
      <c r="E193" s="1">
        <v>79.459999999999994</v>
      </c>
      <c r="F193" s="1">
        <v>77.87</v>
      </c>
      <c r="G193" s="1">
        <v>77.89</v>
      </c>
      <c r="H193" s="1">
        <v>78.040000000000006</v>
      </c>
      <c r="I193" s="1">
        <v>79.319999999999993</v>
      </c>
      <c r="J193" s="1">
        <v>79.19</v>
      </c>
      <c r="K193" s="1">
        <v>67.900000000000006</v>
      </c>
      <c r="L193" s="1">
        <v>68.209999999999994</v>
      </c>
      <c r="M193" s="1">
        <v>67.69</v>
      </c>
      <c r="N193" s="1">
        <v>67.53</v>
      </c>
      <c r="O193" s="1">
        <v>67.5</v>
      </c>
      <c r="P193" t="s">
        <v>722</v>
      </c>
      <c r="Q193" t="s">
        <v>723</v>
      </c>
      <c r="R193" s="1" t="s">
        <v>526</v>
      </c>
      <c r="S193" s="1">
        <f>IFERROR(AVERAGE(Rural[[#This Row],[‫دیسمبر‬‏]]:Rural[[#This Row],[‫اكتوبر‬‏]]),"")</f>
        <v>78.426666666666662</v>
      </c>
      <c r="T193" s="1">
        <f>IFERROR(AVERAGE(Rural[[#This Row],[‫سبتمبر‬‏]]:Rural[[#This Row],[‫یولیو‬‏]]),"")</f>
        <v>78.416666666666671</v>
      </c>
      <c r="U193" s="1">
        <f>IFERROR(AVERAGE(Rural[[#This Row],[‫یونیو‬‏]]:Rural[[#This Row],[‫ابریل‬‏]]),"")</f>
        <v>71.766666666666666</v>
      </c>
      <c r="V193" s="1">
        <f>IFERROR(AVERAGE(Rural[[#This Row],[‫مارس‬‏]]:Rural[[#This Row],[‫ینایر‬‏]]),"")</f>
        <v>67.573333333333338</v>
      </c>
    </row>
    <row r="194" spans="1:22" x14ac:dyDescent="0.35">
      <c r="A194" s="1">
        <v>2.7</v>
      </c>
      <c r="B194" s="1">
        <v>82.46</v>
      </c>
      <c r="C194" s="1">
        <v>84.7</v>
      </c>
      <c r="D194" s="1">
        <v>83.84</v>
      </c>
      <c r="E194" s="1">
        <v>84.62</v>
      </c>
      <c r="F194" s="1">
        <v>83.83</v>
      </c>
      <c r="G194" s="1">
        <v>84.53</v>
      </c>
      <c r="H194" s="1">
        <v>85.27</v>
      </c>
      <c r="I194" s="1">
        <v>85.19</v>
      </c>
      <c r="J194" s="1">
        <v>85.05</v>
      </c>
      <c r="K194" s="1">
        <v>84.7</v>
      </c>
      <c r="L194" s="1">
        <v>88.3</v>
      </c>
      <c r="M194" s="1">
        <v>83.76</v>
      </c>
      <c r="N194" s="1">
        <v>83.19</v>
      </c>
      <c r="O194" s="1">
        <v>84.16</v>
      </c>
      <c r="P194" t="s">
        <v>215</v>
      </c>
      <c r="Q194" t="s">
        <v>724</v>
      </c>
      <c r="R194" s="1" t="s">
        <v>526</v>
      </c>
      <c r="S194" s="1">
        <f>IFERROR(AVERAGE(Rural[[#This Row],[‫دیسمبر‬‏]]:Rural[[#This Row],[‫اكتوبر‬‏]]),"")</f>
        <v>84.096666666666678</v>
      </c>
      <c r="T194" s="1">
        <f>IFERROR(AVERAGE(Rural[[#This Row],[‫سبتمبر‬‏]]:Rural[[#This Row],[‫یولیو‬‏]]),"")</f>
        <v>84.99666666666667</v>
      </c>
      <c r="U194" s="1">
        <f>IFERROR(AVERAGE(Rural[[#This Row],[‫یونیو‬‏]]:Rural[[#This Row],[‫ابریل‬‏]]),"")</f>
        <v>86.016666666666666</v>
      </c>
      <c r="V194" s="1">
        <f>IFERROR(AVERAGE(Rural[[#This Row],[‫مارس‬‏]]:Rural[[#This Row],[‫ینایر‬‏]]),"")</f>
        <v>83.703333333333333</v>
      </c>
    </row>
    <row r="195" spans="1:22" x14ac:dyDescent="0.35">
      <c r="A195" s="1">
        <v>3.4</v>
      </c>
      <c r="B195" s="1">
        <v>89.41</v>
      </c>
      <c r="C195" s="1">
        <v>92.46</v>
      </c>
      <c r="D195" s="1">
        <v>91.16</v>
      </c>
      <c r="E195" s="1">
        <v>91.57</v>
      </c>
      <c r="F195" s="1">
        <v>91.26</v>
      </c>
      <c r="G195" s="1">
        <v>92.6</v>
      </c>
      <c r="H195" s="1">
        <v>93.35</v>
      </c>
      <c r="I195" s="1">
        <v>93.25</v>
      </c>
      <c r="J195" s="1">
        <v>93.13</v>
      </c>
      <c r="K195" s="1">
        <v>92.91</v>
      </c>
      <c r="L195" s="1">
        <v>96.29</v>
      </c>
      <c r="M195" s="1">
        <v>91.71</v>
      </c>
      <c r="N195" s="1">
        <v>90.9</v>
      </c>
      <c r="O195" s="1">
        <v>91.39</v>
      </c>
      <c r="P195" t="s">
        <v>215</v>
      </c>
      <c r="Q195" t="s">
        <v>725</v>
      </c>
      <c r="R195" s="1" t="s">
        <v>526</v>
      </c>
      <c r="S195" s="1">
        <f>IFERROR(AVERAGE(Rural[[#This Row],[‫دیسمبر‬‏]]:Rural[[#This Row],[‫اكتوبر‬‏]]),"")</f>
        <v>91.33</v>
      </c>
      <c r="T195" s="1">
        <f>IFERROR(AVERAGE(Rural[[#This Row],[‫سبتمبر‬‏]]:Rural[[#This Row],[‫یولیو‬‏]]),"")</f>
        <v>93.066666666666663</v>
      </c>
      <c r="U195" s="1">
        <f>IFERROR(AVERAGE(Rural[[#This Row],[‫یونیو‬‏]]:Rural[[#This Row],[‫ابریل‬‏]]),"")</f>
        <v>94.11</v>
      </c>
      <c r="V195" s="1">
        <f>IFERROR(AVERAGE(Rural[[#This Row],[‫مارس‬‏]]:Rural[[#This Row],[‫ینایر‬‏]]),"")</f>
        <v>91.333333333333329</v>
      </c>
    </row>
    <row r="196" spans="1:22" x14ac:dyDescent="0.35">
      <c r="A196" s="1">
        <v>4.3</v>
      </c>
      <c r="B196" s="1">
        <v>62.02</v>
      </c>
      <c r="C196" s="1">
        <v>64.69</v>
      </c>
      <c r="D196" s="1">
        <v>63.52</v>
      </c>
      <c r="E196" s="1">
        <v>64.23</v>
      </c>
      <c r="F196" s="1">
        <v>63.95</v>
      </c>
      <c r="G196" s="1">
        <v>64.39</v>
      </c>
      <c r="H196" s="1">
        <v>65.209999999999994</v>
      </c>
      <c r="I196" s="1">
        <v>65.33</v>
      </c>
      <c r="J196" s="1">
        <v>65.25</v>
      </c>
      <c r="K196" s="1">
        <v>65.14</v>
      </c>
      <c r="L196" s="1">
        <v>67.819999999999993</v>
      </c>
      <c r="M196" s="1">
        <v>63.85</v>
      </c>
      <c r="N196" s="1">
        <v>63.92</v>
      </c>
      <c r="O196" s="1">
        <v>63.73</v>
      </c>
      <c r="P196" t="s">
        <v>215</v>
      </c>
      <c r="Q196" t="s">
        <v>726</v>
      </c>
      <c r="R196" s="1" t="s">
        <v>526</v>
      </c>
      <c r="S196" s="1">
        <f>IFERROR(AVERAGE(Rural[[#This Row],[‫دیسمبر‬‏]]:Rural[[#This Row],[‫اكتوبر‬‏]]),"")</f>
        <v>63.9</v>
      </c>
      <c r="T196" s="1">
        <f>IFERROR(AVERAGE(Rural[[#This Row],[‫سبتمبر‬‏]]:Rural[[#This Row],[‫یولیو‬‏]]),"")</f>
        <v>64.976666666666674</v>
      </c>
      <c r="U196" s="1">
        <f>IFERROR(AVERAGE(Rural[[#This Row],[‫یونیو‬‏]]:Rural[[#This Row],[‫ابریل‬‏]]),"")</f>
        <v>66.069999999999993</v>
      </c>
      <c r="V196" s="1">
        <f>IFERROR(AVERAGE(Rural[[#This Row],[‫مارس‬‏]]:Rural[[#This Row],[‫ینایر‬‏]]),"")</f>
        <v>63.833333333333336</v>
      </c>
    </row>
    <row r="197" spans="1:22" x14ac:dyDescent="0.35">
      <c r="A197" s="1">
        <v>3.5</v>
      </c>
      <c r="B197" s="1">
        <v>516.30999999999995</v>
      </c>
      <c r="C197" s="1">
        <v>534.33000000000004</v>
      </c>
      <c r="D197" s="1">
        <v>538.54</v>
      </c>
      <c r="E197" s="1">
        <v>537.53</v>
      </c>
      <c r="F197" s="1">
        <v>535.49</v>
      </c>
      <c r="G197" s="1">
        <v>530.16</v>
      </c>
      <c r="H197" s="1">
        <v>531.32000000000005</v>
      </c>
      <c r="I197" s="1">
        <v>530.5</v>
      </c>
      <c r="J197" s="1">
        <v>532.91</v>
      </c>
      <c r="K197" s="1">
        <v>532.07000000000005</v>
      </c>
      <c r="L197" s="1">
        <v>530.96</v>
      </c>
      <c r="M197" s="1">
        <v>529.92999999999995</v>
      </c>
      <c r="N197" s="1">
        <v>525.05999999999995</v>
      </c>
      <c r="O197" s="1">
        <v>557.48</v>
      </c>
      <c r="P197" t="s">
        <v>25</v>
      </c>
      <c r="Q197" t="s">
        <v>727</v>
      </c>
      <c r="R197" s="1" t="s">
        <v>526</v>
      </c>
      <c r="S197" s="1">
        <f>IFERROR(AVERAGE(Rural[[#This Row],[‫دیسمبر‬‏]]:Rural[[#This Row],[‫اكتوبر‬‏]]),"")</f>
        <v>537.18666666666661</v>
      </c>
      <c r="T197" s="1">
        <f>IFERROR(AVERAGE(Rural[[#This Row],[‫سبتمبر‬‏]]:Rural[[#This Row],[‫یولیو‬‏]]),"")</f>
        <v>530.66</v>
      </c>
      <c r="U197" s="1">
        <f>IFERROR(AVERAGE(Rural[[#This Row],[‫یونیو‬‏]]:Rural[[#This Row],[‫ابریل‬‏]]),"")</f>
        <v>531.98</v>
      </c>
      <c r="V197" s="1">
        <f>IFERROR(AVERAGE(Rural[[#This Row],[‫مارس‬‏]]:Rural[[#This Row],[‫ینایر‬‏]]),"")</f>
        <v>537.4899999999999</v>
      </c>
    </row>
    <row r="198" spans="1:22" x14ac:dyDescent="0.35">
      <c r="A198" s="1">
        <v>-0.8</v>
      </c>
      <c r="B198" s="1">
        <v>399.85</v>
      </c>
      <c r="C198" s="1">
        <v>396.87</v>
      </c>
      <c r="D198" s="1">
        <v>396.32</v>
      </c>
      <c r="E198" s="1">
        <v>396.52</v>
      </c>
      <c r="F198" s="1">
        <v>395.13</v>
      </c>
      <c r="G198" s="1">
        <v>390.32</v>
      </c>
      <c r="H198" s="1">
        <v>390.55</v>
      </c>
      <c r="I198" s="1">
        <v>390.66</v>
      </c>
      <c r="J198" s="1">
        <v>392.84</v>
      </c>
      <c r="K198" s="1">
        <v>392.35</v>
      </c>
      <c r="L198" s="1">
        <v>401.31</v>
      </c>
      <c r="M198" s="1">
        <v>390.87</v>
      </c>
      <c r="N198" s="1">
        <v>386.22</v>
      </c>
      <c r="O198" s="1">
        <v>439.3</v>
      </c>
      <c r="P198" t="s">
        <v>25</v>
      </c>
      <c r="Q198" t="s">
        <v>728</v>
      </c>
      <c r="R198" s="1" t="s">
        <v>526</v>
      </c>
      <c r="S198" s="1">
        <f>IFERROR(AVERAGE(Rural[[#This Row],[‫دیسمبر‬‏]]:Rural[[#This Row],[‫اكتوبر‬‏]]),"")</f>
        <v>395.98999999999995</v>
      </c>
      <c r="T198" s="1">
        <f>IFERROR(AVERAGE(Rural[[#This Row],[‫سبتمبر‬‏]]:Rural[[#This Row],[‫یولیو‬‏]]),"")</f>
        <v>390.51</v>
      </c>
      <c r="U198" s="1">
        <f>IFERROR(AVERAGE(Rural[[#This Row],[‫یونیو‬‏]]:Rural[[#This Row],[‫ابریل‬‏]]),"")</f>
        <v>395.5</v>
      </c>
      <c r="V198" s="1">
        <f>IFERROR(AVERAGE(Rural[[#This Row],[‫مارس‬‏]]:Rural[[#This Row],[‫ینایر‬‏]]),"")</f>
        <v>405.46333333333337</v>
      </c>
    </row>
    <row r="199" spans="1:22" x14ac:dyDescent="0.35">
      <c r="A199" s="1">
        <v>8.4</v>
      </c>
      <c r="B199" s="1">
        <v>209.77</v>
      </c>
      <c r="C199" s="1">
        <v>227.32</v>
      </c>
      <c r="D199" s="1">
        <v>235.91</v>
      </c>
      <c r="E199" s="1">
        <v>232.37</v>
      </c>
      <c r="F199" s="1">
        <v>230.44</v>
      </c>
      <c r="G199" s="1">
        <v>229.03</v>
      </c>
      <c r="H199" s="1">
        <v>227.74</v>
      </c>
      <c r="I199" s="1">
        <v>225.95</v>
      </c>
      <c r="J199" s="1">
        <v>226.28</v>
      </c>
      <c r="K199" s="1">
        <v>225.86</v>
      </c>
      <c r="L199" s="1">
        <v>223.33</v>
      </c>
      <c r="M199" s="1">
        <v>224.93</v>
      </c>
      <c r="N199" s="1">
        <v>223.19</v>
      </c>
      <c r="O199" s="1">
        <v>222.87</v>
      </c>
      <c r="P199" t="s">
        <v>25</v>
      </c>
      <c r="Q199" t="s">
        <v>729</v>
      </c>
      <c r="R199" s="1" t="s">
        <v>526</v>
      </c>
      <c r="S199" s="1">
        <f>IFERROR(AVERAGE(Rural[[#This Row],[‫دیسمبر‬‏]]:Rural[[#This Row],[‫اكتوبر‬‏]]),"")</f>
        <v>232.90666666666667</v>
      </c>
      <c r="T199" s="1">
        <f>IFERROR(AVERAGE(Rural[[#This Row],[‫سبتمبر‬‏]]:Rural[[#This Row],[‫یولیو‬‏]]),"")</f>
        <v>227.57333333333335</v>
      </c>
      <c r="U199" s="1">
        <f>IFERROR(AVERAGE(Rural[[#This Row],[‫یونیو‬‏]]:Rural[[#This Row],[‫ابریل‬‏]]),"")</f>
        <v>225.15666666666667</v>
      </c>
      <c r="V199" s="1">
        <f>IFERROR(AVERAGE(Rural[[#This Row],[‫مارس‬‏]]:Rural[[#This Row],[‫ینایر‬‏]]),"")</f>
        <v>223.66333333333333</v>
      </c>
    </row>
    <row r="200" spans="1:22" x14ac:dyDescent="0.35">
      <c r="A200" s="1">
        <v>9.8000000000000007</v>
      </c>
      <c r="B200" s="1">
        <v>177.14</v>
      </c>
      <c r="C200" s="1">
        <v>194.41</v>
      </c>
      <c r="D200" s="1">
        <v>200.56</v>
      </c>
      <c r="E200" s="1">
        <v>197.66</v>
      </c>
      <c r="F200" s="1">
        <v>196.15</v>
      </c>
      <c r="G200" s="1">
        <v>195.25</v>
      </c>
      <c r="H200" s="1">
        <v>194.62</v>
      </c>
      <c r="I200" s="1">
        <v>193.68</v>
      </c>
      <c r="J200" s="1">
        <v>194.25</v>
      </c>
      <c r="K200" s="1">
        <v>193.8</v>
      </c>
      <c r="L200" s="1">
        <v>189.96</v>
      </c>
      <c r="M200" s="1">
        <v>192.41</v>
      </c>
      <c r="N200" s="1">
        <v>192.33</v>
      </c>
      <c r="O200" s="1">
        <v>192.29</v>
      </c>
      <c r="P200" t="s">
        <v>25</v>
      </c>
      <c r="Q200" t="s">
        <v>730</v>
      </c>
      <c r="R200" s="1" t="s">
        <v>526</v>
      </c>
      <c r="S200" s="1">
        <f>IFERROR(AVERAGE(Rural[[#This Row],[‫دیسمبر‬‏]]:Rural[[#This Row],[‫اكتوبر‬‏]]),"")</f>
        <v>198.12333333333333</v>
      </c>
      <c r="T200" s="1">
        <f>IFERROR(AVERAGE(Rural[[#This Row],[‫سبتمبر‬‏]]:Rural[[#This Row],[‫یولیو‬‏]]),"")</f>
        <v>194.51666666666665</v>
      </c>
      <c r="U200" s="1">
        <f>IFERROR(AVERAGE(Rural[[#This Row],[‫یونیو‬‏]]:Rural[[#This Row],[‫ابریل‬‏]]),"")</f>
        <v>192.67</v>
      </c>
      <c r="V200" s="1">
        <f>IFERROR(AVERAGE(Rural[[#This Row],[‫مارس‬‏]]:Rural[[#This Row],[‫ینایر‬‏]]),"")</f>
        <v>192.34333333333333</v>
      </c>
    </row>
    <row r="201" spans="1:22" x14ac:dyDescent="0.35">
      <c r="A201" s="1">
        <v>10</v>
      </c>
      <c r="B201" s="1">
        <v>97.12</v>
      </c>
      <c r="C201" s="1">
        <v>106.87</v>
      </c>
      <c r="D201" s="1">
        <v>109.33</v>
      </c>
      <c r="E201" s="1">
        <v>107.17</v>
      </c>
      <c r="F201" s="1">
        <v>107.32</v>
      </c>
      <c r="G201" s="1">
        <v>106.92</v>
      </c>
      <c r="H201" s="1">
        <v>107.13</v>
      </c>
      <c r="I201" s="1">
        <v>107.14</v>
      </c>
      <c r="J201" s="1">
        <v>107.35</v>
      </c>
      <c r="K201" s="1">
        <v>107.04</v>
      </c>
      <c r="L201" s="1">
        <v>105.72</v>
      </c>
      <c r="M201" s="1">
        <v>106.73</v>
      </c>
      <c r="N201" s="1">
        <v>105.54</v>
      </c>
      <c r="O201" s="1">
        <v>105.08</v>
      </c>
      <c r="P201" t="s">
        <v>25</v>
      </c>
      <c r="Q201" t="s">
        <v>731</v>
      </c>
      <c r="R201" s="1" t="s">
        <v>526</v>
      </c>
      <c r="S201" s="1">
        <f>IFERROR(AVERAGE(Rural[[#This Row],[‫دیسمبر‬‏]]:Rural[[#This Row],[‫اكتوبر‬‏]]),"")</f>
        <v>107.94</v>
      </c>
      <c r="T201" s="1">
        <f>IFERROR(AVERAGE(Rural[[#This Row],[‫سبتمبر‬‏]]:Rural[[#This Row],[‫یولیو‬‏]]),"")</f>
        <v>107.06333333333333</v>
      </c>
      <c r="U201" s="1">
        <f>IFERROR(AVERAGE(Rural[[#This Row],[‫یونیو‬‏]]:Rural[[#This Row],[‫ابریل‬‏]]),"")</f>
        <v>106.70333333333333</v>
      </c>
      <c r="V201" s="1">
        <f>IFERROR(AVERAGE(Rural[[#This Row],[‫مارس‬‏]]:Rural[[#This Row],[‫ینایر‬‏]]),"")</f>
        <v>105.78333333333335</v>
      </c>
    </row>
    <row r="202" spans="1:22" x14ac:dyDescent="0.35">
      <c r="A202" s="1">
        <v>12.2</v>
      </c>
      <c r="B202" s="1">
        <v>111.68</v>
      </c>
      <c r="C202" s="1">
        <v>125.29</v>
      </c>
      <c r="D202" s="1">
        <v>129.26</v>
      </c>
      <c r="E202" s="1">
        <v>126.87</v>
      </c>
      <c r="F202" s="1">
        <v>126.46</v>
      </c>
      <c r="G202" s="1">
        <v>125.06</v>
      </c>
      <c r="H202" s="1">
        <v>125.26</v>
      </c>
      <c r="I202" s="1">
        <v>125.57</v>
      </c>
      <c r="J202" s="1">
        <v>125.77</v>
      </c>
      <c r="K202" s="1">
        <v>125.57</v>
      </c>
      <c r="L202" s="1">
        <v>124.38</v>
      </c>
      <c r="M202" s="1">
        <v>124.81</v>
      </c>
      <c r="N202" s="1">
        <v>122.27</v>
      </c>
      <c r="O202" s="1">
        <v>122.15</v>
      </c>
      <c r="P202" t="s">
        <v>25</v>
      </c>
      <c r="Q202" t="s">
        <v>732</v>
      </c>
      <c r="R202" s="1" t="s">
        <v>526</v>
      </c>
      <c r="S202" s="1">
        <f>IFERROR(AVERAGE(Rural[[#This Row],[‫دیسمبر‬‏]]:Rural[[#This Row],[‫اكتوبر‬‏]]),"")</f>
        <v>127.52999999999999</v>
      </c>
      <c r="T202" s="1">
        <f>IFERROR(AVERAGE(Rural[[#This Row],[‫سبتمبر‬‏]]:Rural[[#This Row],[‫یولیو‬‏]]),"")</f>
        <v>125.29666666666667</v>
      </c>
      <c r="U202" s="1">
        <f>IFERROR(AVERAGE(Rural[[#This Row],[‫یونیو‬‏]]:Rural[[#This Row],[‫ابریل‬‏]]),"")</f>
        <v>125.24</v>
      </c>
      <c r="V202" s="1">
        <f>IFERROR(AVERAGE(Rural[[#This Row],[‫مارس‬‏]]:Rural[[#This Row],[‫ینایر‬‏]]),"")</f>
        <v>123.07666666666667</v>
      </c>
    </row>
    <row r="203" spans="1:22" x14ac:dyDescent="0.35">
      <c r="A203" s="1">
        <v>5.0999999999999996</v>
      </c>
      <c r="B203" s="1">
        <v>60.38</v>
      </c>
      <c r="C203" s="1">
        <v>63.45</v>
      </c>
      <c r="D203" s="1">
        <v>64.16</v>
      </c>
      <c r="E203" s="1">
        <v>64.03</v>
      </c>
      <c r="F203" s="1">
        <v>63.84</v>
      </c>
      <c r="G203" s="1">
        <v>63.44</v>
      </c>
      <c r="H203" s="1">
        <v>63.53</v>
      </c>
      <c r="I203" s="1">
        <v>62.69</v>
      </c>
      <c r="J203" s="1">
        <v>62.69</v>
      </c>
      <c r="K203" s="1">
        <v>62.81</v>
      </c>
      <c r="L203" s="1">
        <v>63.03</v>
      </c>
      <c r="M203" s="1">
        <v>62.79</v>
      </c>
      <c r="N203" s="1">
        <v>63.57</v>
      </c>
      <c r="O203" s="1">
        <v>64.790000000000006</v>
      </c>
      <c r="P203" t="s">
        <v>25</v>
      </c>
      <c r="Q203" t="s">
        <v>733</v>
      </c>
      <c r="R203" s="1" t="s">
        <v>526</v>
      </c>
      <c r="S203" s="1">
        <f>IFERROR(AVERAGE(Rural[[#This Row],[‫دیسمبر‬‏]]:Rural[[#This Row],[‫اكتوبر‬‏]]),"")</f>
        <v>64.010000000000005</v>
      </c>
      <c r="T203" s="1">
        <f>IFERROR(AVERAGE(Rural[[#This Row],[‫سبتمبر‬‏]]:Rural[[#This Row],[‫یولیو‬‏]]),"")</f>
        <v>63.22</v>
      </c>
      <c r="U203" s="1">
        <f>IFERROR(AVERAGE(Rural[[#This Row],[‫یونیو‬‏]]:Rural[[#This Row],[‫ابریل‬‏]]),"")</f>
        <v>62.843333333333334</v>
      </c>
      <c r="V203" s="1">
        <f>IFERROR(AVERAGE(Rural[[#This Row],[‫مارس‬‏]]:Rural[[#This Row],[‫ینایر‬‏]]),"")</f>
        <v>63.716666666666669</v>
      </c>
    </row>
    <row r="204" spans="1:22" x14ac:dyDescent="0.35">
      <c r="A204" s="1">
        <v>17.600000000000001</v>
      </c>
      <c r="B204" s="1">
        <v>167.92</v>
      </c>
      <c r="C204" s="1">
        <v>197.49</v>
      </c>
      <c r="D204" s="1">
        <v>199.66</v>
      </c>
      <c r="E204" s="1">
        <v>199.25</v>
      </c>
      <c r="F204" s="1">
        <v>198.19</v>
      </c>
      <c r="G204" s="1">
        <v>198.32</v>
      </c>
      <c r="H204" s="1">
        <v>198.5</v>
      </c>
      <c r="I204" s="1">
        <v>197.5</v>
      </c>
      <c r="J204" s="1">
        <v>198.87</v>
      </c>
      <c r="K204" s="1">
        <v>199.1</v>
      </c>
      <c r="L204" s="1">
        <v>200.12</v>
      </c>
      <c r="M204" s="1">
        <v>198.94</v>
      </c>
      <c r="N204" s="1">
        <v>197.9</v>
      </c>
      <c r="O204" s="1">
        <v>183.57</v>
      </c>
      <c r="P204" t="s">
        <v>25</v>
      </c>
      <c r="Q204" t="s">
        <v>734</v>
      </c>
      <c r="R204" s="1" t="s">
        <v>526</v>
      </c>
      <c r="S204" s="1">
        <f>IFERROR(AVERAGE(Rural[[#This Row],[‫دیسمبر‬‏]]:Rural[[#This Row],[‫اكتوبر‬‏]]),"")</f>
        <v>199.0333333333333</v>
      </c>
      <c r="T204" s="1">
        <f>IFERROR(AVERAGE(Rural[[#This Row],[‫سبتمبر‬‏]]:Rural[[#This Row],[‫یولیو‬‏]]),"")</f>
        <v>198.10666666666665</v>
      </c>
      <c r="U204" s="1">
        <f>IFERROR(AVERAGE(Rural[[#This Row],[‫یونیو‬‏]]:Rural[[#This Row],[‫ابریل‬‏]]),"")</f>
        <v>199.36333333333334</v>
      </c>
      <c r="V204" s="1">
        <f>IFERROR(AVERAGE(Rural[[#This Row],[‫مارس‬‏]]:Rural[[#This Row],[‫ینایر‬‏]]),"")</f>
        <v>193.47000000000003</v>
      </c>
    </row>
    <row r="205" spans="1:22" x14ac:dyDescent="0.35">
      <c r="A205" s="1">
        <v>14.2</v>
      </c>
      <c r="B205" s="1">
        <v>252.71</v>
      </c>
      <c r="C205" s="1">
        <v>288.68</v>
      </c>
      <c r="D205" s="1">
        <v>291.10000000000002</v>
      </c>
      <c r="E205" s="1">
        <v>288.74</v>
      </c>
      <c r="F205" s="1">
        <v>287.31</v>
      </c>
      <c r="G205" s="1">
        <v>285.11</v>
      </c>
      <c r="H205" s="1">
        <v>285.33999999999997</v>
      </c>
      <c r="I205" s="1">
        <v>284.97000000000003</v>
      </c>
      <c r="J205" s="1">
        <v>285.66000000000003</v>
      </c>
      <c r="K205" s="1">
        <v>295.8</v>
      </c>
      <c r="L205" s="1">
        <v>299.99</v>
      </c>
      <c r="M205" s="1">
        <v>295.39</v>
      </c>
      <c r="N205" s="1">
        <v>294.8</v>
      </c>
      <c r="O205" s="1">
        <v>269.97000000000003</v>
      </c>
      <c r="P205" t="s">
        <v>25</v>
      </c>
      <c r="Q205" t="s">
        <v>735</v>
      </c>
      <c r="R205" s="1" t="s">
        <v>526</v>
      </c>
      <c r="S205" s="1">
        <f>IFERROR(AVERAGE(Rural[[#This Row],[‫دیسمبر‬‏]]:Rural[[#This Row],[‫اكتوبر‬‏]]),"")</f>
        <v>289.05</v>
      </c>
      <c r="T205" s="1">
        <f>IFERROR(AVERAGE(Rural[[#This Row],[‫سبتمبر‬‏]]:Rural[[#This Row],[‫یولیو‬‏]]),"")</f>
        <v>285.14000000000004</v>
      </c>
      <c r="U205" s="1">
        <f>IFERROR(AVERAGE(Rural[[#This Row],[‫یونیو‬‏]]:Rural[[#This Row],[‫ابریل‬‏]]),"")</f>
        <v>293.81666666666666</v>
      </c>
      <c r="V205" s="1">
        <f>IFERROR(AVERAGE(Rural[[#This Row],[‫مارس‬‏]]:Rural[[#This Row],[‫ینایر‬‏]]),"")</f>
        <v>286.72000000000003</v>
      </c>
    </row>
    <row r="206" spans="1:22" x14ac:dyDescent="0.35">
      <c r="A206" s="1">
        <v>17.7</v>
      </c>
      <c r="B206" s="1">
        <v>230.16</v>
      </c>
      <c r="C206" s="1">
        <v>270.91000000000003</v>
      </c>
      <c r="D206" s="1">
        <v>276.86</v>
      </c>
      <c r="E206" s="1">
        <v>274.8</v>
      </c>
      <c r="F206" s="1">
        <v>273.37</v>
      </c>
      <c r="G206" s="1">
        <v>271.39999999999998</v>
      </c>
      <c r="H206" s="1">
        <v>271.37</v>
      </c>
      <c r="I206" s="1">
        <v>271.05</v>
      </c>
      <c r="J206" s="1">
        <v>271.62</v>
      </c>
      <c r="K206" s="1">
        <v>272.2</v>
      </c>
      <c r="L206" s="1">
        <v>278.29000000000002</v>
      </c>
      <c r="M206" s="1">
        <v>272.01</v>
      </c>
      <c r="N206" s="1">
        <v>271.52999999999997</v>
      </c>
      <c r="O206" s="1">
        <v>246.39</v>
      </c>
      <c r="P206" t="s">
        <v>25</v>
      </c>
      <c r="Q206" t="s">
        <v>736</v>
      </c>
      <c r="R206" s="1" t="s">
        <v>526</v>
      </c>
      <c r="S206" s="1">
        <f>IFERROR(AVERAGE(Rural[[#This Row],[‫دیسمبر‬‏]]:Rural[[#This Row],[‫اكتوبر‬‏]]),"")</f>
        <v>275.01000000000005</v>
      </c>
      <c r="T206" s="1">
        <f>IFERROR(AVERAGE(Rural[[#This Row],[‫سبتمبر‬‏]]:Rural[[#This Row],[‫یولیو‬‏]]),"")</f>
        <v>271.27333333333331</v>
      </c>
      <c r="U206" s="1">
        <f>IFERROR(AVERAGE(Rural[[#This Row],[‫یونیو‬‏]]:Rural[[#This Row],[‫ابریل‬‏]]),"")</f>
        <v>274.03666666666663</v>
      </c>
      <c r="V206" s="1">
        <f>IFERROR(AVERAGE(Rural[[#This Row],[‫مارس‬‏]]:Rural[[#This Row],[‫ینایر‬‏]]),"")</f>
        <v>263.31</v>
      </c>
    </row>
    <row r="207" spans="1:22" x14ac:dyDescent="0.35">
      <c r="A207" s="1">
        <v>9.6</v>
      </c>
      <c r="B207" s="1">
        <v>70.3</v>
      </c>
      <c r="C207" s="1">
        <v>77.08</v>
      </c>
      <c r="D207" s="1">
        <v>78.459999999999994</v>
      </c>
      <c r="E207" s="1">
        <v>77.92</v>
      </c>
      <c r="F207" s="1">
        <v>77.540000000000006</v>
      </c>
      <c r="G207" s="1">
        <v>77.040000000000006</v>
      </c>
      <c r="H207" s="1">
        <v>76.78</v>
      </c>
      <c r="I207" s="1">
        <v>76.61</v>
      </c>
      <c r="J207" s="1">
        <v>76.77</v>
      </c>
      <c r="K207" s="1">
        <v>77.62</v>
      </c>
      <c r="L207" s="1">
        <v>76.319999999999993</v>
      </c>
      <c r="M207" s="1">
        <v>77.45</v>
      </c>
      <c r="N207" s="1">
        <v>77.33</v>
      </c>
      <c r="O207" s="1">
        <v>75.12</v>
      </c>
      <c r="P207" t="s">
        <v>363</v>
      </c>
      <c r="Q207" t="s">
        <v>737</v>
      </c>
      <c r="R207" s="1" t="s">
        <v>526</v>
      </c>
      <c r="S207" s="1">
        <f>IFERROR(AVERAGE(Rural[[#This Row],[‫دیسمبر‬‏]]:Rural[[#This Row],[‫اكتوبر‬‏]]),"")</f>
        <v>77.973333333333343</v>
      </c>
      <c r="T207" s="1">
        <f>IFERROR(AVERAGE(Rural[[#This Row],[‫سبتمبر‬‏]]:Rural[[#This Row],[‫یولیو‬‏]]),"")</f>
        <v>76.81</v>
      </c>
      <c r="U207" s="1">
        <f>IFERROR(AVERAGE(Rural[[#This Row],[‫یونیو‬‏]]:Rural[[#This Row],[‫ابریل‬‏]]),"")</f>
        <v>76.903333333333322</v>
      </c>
      <c r="V207" s="1">
        <f>IFERROR(AVERAGE(Rural[[#This Row],[‫مارس‬‏]]:Rural[[#This Row],[‫ینایر‬‏]]),"")</f>
        <v>76.63333333333334</v>
      </c>
    </row>
    <row r="208" spans="1:22" x14ac:dyDescent="0.35">
      <c r="A208" s="1">
        <v>7</v>
      </c>
      <c r="B208" s="1">
        <v>63.45</v>
      </c>
      <c r="C208" s="1">
        <v>67.89</v>
      </c>
      <c r="D208" s="1">
        <v>69.349999999999994</v>
      </c>
      <c r="E208" s="1">
        <v>68.739999999999995</v>
      </c>
      <c r="F208" s="1">
        <v>68.430000000000007</v>
      </c>
      <c r="G208" s="1">
        <v>68.06</v>
      </c>
      <c r="H208" s="1">
        <v>68.09</v>
      </c>
      <c r="I208" s="1">
        <v>67.95</v>
      </c>
      <c r="J208" s="1">
        <v>68.02</v>
      </c>
      <c r="K208" s="1">
        <v>68.12</v>
      </c>
      <c r="L208" s="1">
        <v>65.7</v>
      </c>
      <c r="M208" s="1">
        <v>68.06</v>
      </c>
      <c r="N208" s="1">
        <v>67.010000000000005</v>
      </c>
      <c r="O208" s="1">
        <v>67.22</v>
      </c>
      <c r="P208" t="s">
        <v>373</v>
      </c>
      <c r="Q208" t="s">
        <v>738</v>
      </c>
      <c r="R208" s="1" t="s">
        <v>526</v>
      </c>
      <c r="S208" s="1">
        <f>IFERROR(AVERAGE(Rural[[#This Row],[‫دیسمبر‬‏]]:Rural[[#This Row],[‫اكتوبر‬‏]]),"")</f>
        <v>68.839999999999989</v>
      </c>
      <c r="T208" s="1">
        <f>IFERROR(AVERAGE(Rural[[#This Row],[‫سبتمبر‬‏]]:Rural[[#This Row],[‫یولیو‬‏]]),"")</f>
        <v>68.033333333333346</v>
      </c>
      <c r="U208" s="1">
        <f>IFERROR(AVERAGE(Rural[[#This Row],[‫یونیو‬‏]]:Rural[[#This Row],[‫ابریل‬‏]]),"")</f>
        <v>67.279999999999987</v>
      </c>
      <c r="V208" s="1">
        <f>IFERROR(AVERAGE(Rural[[#This Row],[‫مارس‬‏]]:Rural[[#This Row],[‫ینایر‬‏]]),"")</f>
        <v>67.429999999999993</v>
      </c>
    </row>
    <row r="209" spans="1:22" x14ac:dyDescent="0.35">
      <c r="A209" s="1">
        <v>1.2</v>
      </c>
      <c r="B209" s="1">
        <v>121.55</v>
      </c>
      <c r="C209" s="1">
        <v>123</v>
      </c>
      <c r="D209" s="1">
        <v>125.08</v>
      </c>
      <c r="E209" s="1">
        <v>124.74</v>
      </c>
      <c r="F209" s="1">
        <v>124.74</v>
      </c>
      <c r="G209" s="1">
        <v>123.34</v>
      </c>
      <c r="H209" s="1">
        <v>123.23</v>
      </c>
      <c r="I209" s="1">
        <v>124.53</v>
      </c>
      <c r="J209" s="1">
        <v>123.96</v>
      </c>
      <c r="K209" s="1">
        <v>123.42</v>
      </c>
      <c r="L209" s="1">
        <v>114.6</v>
      </c>
      <c r="M209" s="1">
        <v>123.23</v>
      </c>
      <c r="N209" s="1">
        <v>123.21</v>
      </c>
      <c r="O209" s="1">
        <v>121.94</v>
      </c>
      <c r="P209" t="s">
        <v>25</v>
      </c>
      <c r="Q209" t="s">
        <v>739</v>
      </c>
      <c r="R209" s="1" t="s">
        <v>526</v>
      </c>
      <c r="S209" s="1">
        <f>IFERROR(AVERAGE(Rural[[#This Row],[‫دیسمبر‬‏]]:Rural[[#This Row],[‫اكتوبر‬‏]]),"")</f>
        <v>124.85333333333334</v>
      </c>
      <c r="T209" s="1">
        <f>IFERROR(AVERAGE(Rural[[#This Row],[‫سبتمبر‬‏]]:Rural[[#This Row],[‫یولیو‬‏]]),"")</f>
        <v>123.7</v>
      </c>
      <c r="U209" s="1">
        <f>IFERROR(AVERAGE(Rural[[#This Row],[‫یونیو‬‏]]:Rural[[#This Row],[‫ابریل‬‏]]),"")</f>
        <v>120.66000000000001</v>
      </c>
      <c r="V209" s="1">
        <f>IFERROR(AVERAGE(Rural[[#This Row],[‫مارس‬‏]]:Rural[[#This Row],[‫ینایر‬‏]]),"")</f>
        <v>122.79333333333334</v>
      </c>
    </row>
    <row r="210" spans="1:22" x14ac:dyDescent="0.35">
      <c r="A210" s="1">
        <v>-0.2</v>
      </c>
      <c r="B210" s="1">
        <v>320.7</v>
      </c>
      <c r="C210" s="1">
        <v>320.19</v>
      </c>
      <c r="D210" s="1">
        <v>321.83999999999997</v>
      </c>
      <c r="E210" s="1">
        <v>321.73</v>
      </c>
      <c r="F210" s="1">
        <v>321.73</v>
      </c>
      <c r="G210" s="1">
        <v>319.33999999999997</v>
      </c>
      <c r="H210" s="1">
        <v>318.27999999999997</v>
      </c>
      <c r="I210" s="1">
        <v>321.64999999999998</v>
      </c>
      <c r="J210" s="1">
        <v>322.04000000000002</v>
      </c>
      <c r="K210" s="1">
        <v>320.08</v>
      </c>
      <c r="L210" s="1">
        <v>314.98</v>
      </c>
      <c r="M210" s="1">
        <v>320.8</v>
      </c>
      <c r="N210" s="1">
        <v>320.55</v>
      </c>
      <c r="O210" s="1">
        <v>319.20999999999998</v>
      </c>
      <c r="P210" t="s">
        <v>25</v>
      </c>
      <c r="Q210" t="s">
        <v>740</v>
      </c>
      <c r="R210" s="1" t="s">
        <v>526</v>
      </c>
      <c r="S210" s="1">
        <f>IFERROR(AVERAGE(Rural[[#This Row],[‫دیسمبر‬‏]]:Rural[[#This Row],[‫اكتوبر‬‏]]),"")</f>
        <v>321.76666666666665</v>
      </c>
      <c r="T210" s="1">
        <f>IFERROR(AVERAGE(Rural[[#This Row],[‫سبتمبر‬‏]]:Rural[[#This Row],[‫یولیو‬‏]]),"")</f>
        <v>319.7566666666666</v>
      </c>
      <c r="U210" s="1">
        <f>IFERROR(AVERAGE(Rural[[#This Row],[‫یونیو‬‏]]:Rural[[#This Row],[‫ابریل‬‏]]),"")</f>
        <v>319.03333333333336</v>
      </c>
      <c r="V210" s="1">
        <f>IFERROR(AVERAGE(Rural[[#This Row],[‫مارس‬‏]]:Rural[[#This Row],[‫ینایر‬‏]]),"")</f>
        <v>320.18666666666667</v>
      </c>
    </row>
    <row r="211" spans="1:22" x14ac:dyDescent="0.35">
      <c r="A211" s="1">
        <v>19.5</v>
      </c>
      <c r="B211" s="1">
        <v>126.76</v>
      </c>
      <c r="C211" s="1">
        <v>151.51</v>
      </c>
      <c r="D211" s="1">
        <v>156.19</v>
      </c>
      <c r="E211" s="1">
        <v>155.4</v>
      </c>
      <c r="F211" s="1">
        <v>155.38999999999999</v>
      </c>
      <c r="G211" s="1">
        <v>154.84</v>
      </c>
      <c r="H211" s="1">
        <v>153.79</v>
      </c>
      <c r="I211" s="1">
        <v>153.55000000000001</v>
      </c>
      <c r="J211" s="1">
        <v>152.99</v>
      </c>
      <c r="K211" s="1">
        <v>152.08000000000001</v>
      </c>
      <c r="L211" s="1">
        <v>155.28</v>
      </c>
      <c r="M211" s="1">
        <v>148.53</v>
      </c>
      <c r="N211" s="1">
        <v>140.43</v>
      </c>
      <c r="O211" s="1">
        <v>139.68</v>
      </c>
      <c r="P211" t="s">
        <v>25</v>
      </c>
      <c r="Q211" t="s">
        <v>741</v>
      </c>
      <c r="R211" s="1" t="s">
        <v>526</v>
      </c>
      <c r="S211" s="1">
        <f>IFERROR(AVERAGE(Rural[[#This Row],[‫دیسمبر‬‏]]:Rural[[#This Row],[‫اكتوبر‬‏]]),"")</f>
        <v>155.66</v>
      </c>
      <c r="T211" s="1">
        <f>IFERROR(AVERAGE(Rural[[#This Row],[‫سبتمبر‬‏]]:Rural[[#This Row],[‫یولیو‬‏]]),"")</f>
        <v>154.06</v>
      </c>
      <c r="U211" s="1">
        <f>IFERROR(AVERAGE(Rural[[#This Row],[‫یونیو‬‏]]:Rural[[#This Row],[‫ابریل‬‏]]),"")</f>
        <v>153.45000000000002</v>
      </c>
      <c r="V211" s="1">
        <f>IFERROR(AVERAGE(Rural[[#This Row],[‫مارس‬‏]]:Rural[[#This Row],[‫ینایر‬‏]]),"")</f>
        <v>142.88000000000002</v>
      </c>
    </row>
    <row r="212" spans="1:22" x14ac:dyDescent="0.35">
      <c r="A212" s="1">
        <v>15.2</v>
      </c>
      <c r="B212" s="1">
        <v>20.149999999999999</v>
      </c>
      <c r="C212" s="1">
        <v>23.22</v>
      </c>
      <c r="D212" s="1">
        <v>23.72</v>
      </c>
      <c r="E212" s="1">
        <v>23.65</v>
      </c>
      <c r="F212" s="1">
        <v>23.59</v>
      </c>
      <c r="G212" s="1">
        <v>23.56</v>
      </c>
      <c r="H212" s="1">
        <v>23.4</v>
      </c>
      <c r="I212" s="1">
        <v>23.4</v>
      </c>
      <c r="J212" s="1">
        <v>23.32</v>
      </c>
      <c r="K212" s="1">
        <v>23.3</v>
      </c>
      <c r="L212" s="1">
        <v>23.65</v>
      </c>
      <c r="M212" s="1">
        <v>22.68</v>
      </c>
      <c r="N212" s="1">
        <v>22.19</v>
      </c>
      <c r="O212" s="1">
        <v>22.17</v>
      </c>
      <c r="P212" t="s">
        <v>467</v>
      </c>
      <c r="Q212" t="s">
        <v>742</v>
      </c>
      <c r="R212" s="1" t="s">
        <v>526</v>
      </c>
      <c r="S212" s="1">
        <f>IFERROR(AVERAGE(Rural[[#This Row],[‫دیسمبر‬‏]]:Rural[[#This Row],[‫اكتوبر‬‏]]),"")</f>
        <v>23.653333333333332</v>
      </c>
      <c r="T212" s="1">
        <f>IFERROR(AVERAGE(Rural[[#This Row],[‫سبتمبر‬‏]]:Rural[[#This Row],[‫یولیو‬‏]]),"")</f>
        <v>23.45333333333333</v>
      </c>
      <c r="U212" s="1">
        <f>IFERROR(AVERAGE(Rural[[#This Row],[‫یونیو‬‏]]:Rural[[#This Row],[‫ابریل‬‏]]),"")</f>
        <v>23.423333333333336</v>
      </c>
      <c r="V212" s="1">
        <f>IFERROR(AVERAGE(Rural[[#This Row],[‫مارس‬‏]]:Rural[[#This Row],[‫ینایر‬‏]]),"")</f>
        <v>22.346666666666668</v>
      </c>
    </row>
    <row r="213" spans="1:22" x14ac:dyDescent="0.35">
      <c r="A213" s="1">
        <v>7.5</v>
      </c>
      <c r="B213" s="1">
        <v>88.84</v>
      </c>
      <c r="C213" s="1">
        <v>95.5</v>
      </c>
      <c r="D213" s="1">
        <v>95.76</v>
      </c>
      <c r="E213" s="1">
        <v>94.96</v>
      </c>
      <c r="F213" s="1">
        <v>94.96</v>
      </c>
      <c r="G213" s="1">
        <v>94.79</v>
      </c>
      <c r="H213" s="1">
        <v>96.97</v>
      </c>
      <c r="I213" s="1">
        <v>96.59</v>
      </c>
      <c r="J213" s="1">
        <v>96.59</v>
      </c>
      <c r="K213" s="1">
        <v>96.11</v>
      </c>
      <c r="L213" s="1">
        <v>96.24</v>
      </c>
      <c r="M213" s="1">
        <v>95.83</v>
      </c>
      <c r="N213" s="1">
        <v>94.15</v>
      </c>
      <c r="O213" s="1">
        <v>92.99</v>
      </c>
      <c r="P213" t="s">
        <v>25</v>
      </c>
      <c r="Q213" t="s">
        <v>743</v>
      </c>
      <c r="R213" s="1" t="s">
        <v>526</v>
      </c>
      <c r="S213" s="1">
        <f>IFERROR(AVERAGE(Rural[[#This Row],[‫دیسمبر‬‏]]:Rural[[#This Row],[‫اكتوبر‬‏]]),"")</f>
        <v>95.226666666666674</v>
      </c>
      <c r="T213" s="1">
        <f>IFERROR(AVERAGE(Rural[[#This Row],[‫سبتمبر‬‏]]:Rural[[#This Row],[‫یولیو‬‏]]),"")</f>
        <v>96.116666666666674</v>
      </c>
      <c r="U213" s="1">
        <f>IFERROR(AVERAGE(Rural[[#This Row],[‫یونیو‬‏]]:Rural[[#This Row],[‫ابریل‬‏]]),"")</f>
        <v>96.313333333333333</v>
      </c>
      <c r="V213" s="1">
        <f>IFERROR(AVERAGE(Rural[[#This Row],[‫مارس‬‏]]:Rural[[#This Row],[‫ینایر‬‏]]),"")</f>
        <v>94.323333333333338</v>
      </c>
    </row>
    <row r="214" spans="1:22" x14ac:dyDescent="0.35">
      <c r="A214" s="1">
        <v>9.5</v>
      </c>
      <c r="B214" s="1">
        <v>67.7</v>
      </c>
      <c r="C214" s="1">
        <v>74.13</v>
      </c>
      <c r="D214" s="1">
        <v>74.459999999999994</v>
      </c>
      <c r="E214" s="1">
        <v>74.349999999999994</v>
      </c>
      <c r="F214" s="1">
        <v>74.349999999999994</v>
      </c>
      <c r="G214" s="1">
        <v>73.989999999999995</v>
      </c>
      <c r="H214" s="1">
        <v>75.66</v>
      </c>
      <c r="I214" s="1">
        <v>75.62</v>
      </c>
      <c r="J214" s="1">
        <v>75.62</v>
      </c>
      <c r="K214" s="1">
        <v>74.11</v>
      </c>
      <c r="L214" s="1">
        <v>72.599999999999994</v>
      </c>
      <c r="M214" s="1">
        <v>74.05</v>
      </c>
      <c r="N214" s="1">
        <v>72.959999999999994</v>
      </c>
      <c r="O214" s="1">
        <v>71.83</v>
      </c>
      <c r="P214" t="s">
        <v>25</v>
      </c>
      <c r="Q214" t="s">
        <v>744</v>
      </c>
      <c r="R214" s="1" t="s">
        <v>526</v>
      </c>
      <c r="S214" s="1">
        <f>IFERROR(AVERAGE(Rural[[#This Row],[‫دیسمبر‬‏]]:Rural[[#This Row],[‫اكتوبر‬‏]]),"")</f>
        <v>74.38666666666667</v>
      </c>
      <c r="T214" s="1">
        <f>IFERROR(AVERAGE(Rural[[#This Row],[‫سبتمبر‬‏]]:Rural[[#This Row],[‫یولیو‬‏]]),"")</f>
        <v>75.089999999999989</v>
      </c>
      <c r="U214" s="1">
        <f>IFERROR(AVERAGE(Rural[[#This Row],[‫یونیو‬‏]]:Rural[[#This Row],[‫ابریل‬‏]]),"")</f>
        <v>74.11</v>
      </c>
      <c r="V214" s="1">
        <f>IFERROR(AVERAGE(Rural[[#This Row],[‫مارس‬‏]]:Rural[[#This Row],[‫ینایر‬‏]]),"")</f>
        <v>72.946666666666658</v>
      </c>
    </row>
    <row r="215" spans="1:22" x14ac:dyDescent="0.35">
      <c r="A215" s="1">
        <v>3.7</v>
      </c>
      <c r="B215" s="1">
        <v>7.17</v>
      </c>
      <c r="C215" s="1">
        <v>7.44</v>
      </c>
      <c r="D215" s="1">
        <v>7.61</v>
      </c>
      <c r="E215" s="1">
        <v>7.6</v>
      </c>
      <c r="F215" s="1">
        <v>7.6</v>
      </c>
      <c r="G215" s="1">
        <v>7.5</v>
      </c>
      <c r="H215" s="1">
        <v>7.5</v>
      </c>
      <c r="I215" s="1">
        <v>7.5</v>
      </c>
      <c r="J215" s="1">
        <v>7.46</v>
      </c>
      <c r="K215" s="1">
        <v>7.41</v>
      </c>
      <c r="L215" s="1">
        <v>6.89</v>
      </c>
      <c r="M215" s="1">
        <v>7.4</v>
      </c>
      <c r="N215" s="1">
        <v>7.4</v>
      </c>
      <c r="O215" s="1">
        <v>7.37</v>
      </c>
      <c r="P215" t="s">
        <v>427</v>
      </c>
      <c r="Q215" t="s">
        <v>745</v>
      </c>
      <c r="R215" s="1" t="s">
        <v>526</v>
      </c>
      <c r="S215" s="1">
        <f>IFERROR(AVERAGE(Rural[[#This Row],[‫دیسمبر‬‏]]:Rural[[#This Row],[‫اكتوبر‬‏]]),"")</f>
        <v>7.6033333333333344</v>
      </c>
      <c r="T215" s="1">
        <f>IFERROR(AVERAGE(Rural[[#This Row],[‫سبتمبر‬‏]]:Rural[[#This Row],[‫یولیو‬‏]]),"")</f>
        <v>7.5</v>
      </c>
      <c r="U215" s="1">
        <f>IFERROR(AVERAGE(Rural[[#This Row],[‫یونیو‬‏]]:Rural[[#This Row],[‫ابریل‬‏]]),"")</f>
        <v>7.2533333333333339</v>
      </c>
      <c r="V215" s="1">
        <f>IFERROR(AVERAGE(Rural[[#This Row],[‫مارس‬‏]]:Rural[[#This Row],[‫ینایر‬‏]]),"")</f>
        <v>7.3900000000000006</v>
      </c>
    </row>
    <row r="216" spans="1:22" x14ac:dyDescent="0.35">
      <c r="A216" s="1">
        <v>27.4</v>
      </c>
      <c r="B216" s="1">
        <v>1.99</v>
      </c>
      <c r="C216" s="1">
        <v>2.5299999999999998</v>
      </c>
      <c r="D216" s="1">
        <v>2.76</v>
      </c>
      <c r="E216" s="1">
        <v>2.63</v>
      </c>
      <c r="F216" s="1">
        <v>2.63</v>
      </c>
      <c r="G216" s="1">
        <v>2.5499999999999998</v>
      </c>
      <c r="H216" s="1">
        <v>2.4900000000000002</v>
      </c>
      <c r="I216" s="1">
        <v>2.46</v>
      </c>
      <c r="J216" s="1">
        <v>2.46</v>
      </c>
      <c r="K216" s="1">
        <v>2.46</v>
      </c>
      <c r="L216" s="1">
        <v>2.61</v>
      </c>
      <c r="M216" s="1">
        <v>2.46</v>
      </c>
      <c r="N216" s="1">
        <v>2.46</v>
      </c>
      <c r="O216" s="1">
        <v>2.42</v>
      </c>
      <c r="P216" t="s">
        <v>427</v>
      </c>
      <c r="Q216" t="s">
        <v>746</v>
      </c>
      <c r="R216" s="1" t="s">
        <v>526</v>
      </c>
      <c r="S216" s="1">
        <f>IFERROR(AVERAGE(Rural[[#This Row],[‫دیسمبر‬‏]]:Rural[[#This Row],[‫اكتوبر‬‏]]),"")</f>
        <v>2.6733333333333333</v>
      </c>
      <c r="T216" s="1">
        <f>IFERROR(AVERAGE(Rural[[#This Row],[‫سبتمبر‬‏]]:Rural[[#This Row],[‫یولیو‬‏]]),"")</f>
        <v>2.5</v>
      </c>
      <c r="U216" s="1">
        <f>IFERROR(AVERAGE(Rural[[#This Row],[‫یونیو‬‏]]:Rural[[#This Row],[‫ابریل‬‏]]),"")</f>
        <v>2.5099999999999998</v>
      </c>
      <c r="V216" s="1">
        <f>IFERROR(AVERAGE(Rural[[#This Row],[‫مارس‬‏]]:Rural[[#This Row],[‫ینایر‬‏]]),"")</f>
        <v>2.4466666666666668</v>
      </c>
    </row>
    <row r="217" spans="1:22" x14ac:dyDescent="0.35">
      <c r="A217" s="1">
        <v>16.399999999999999</v>
      </c>
      <c r="B217" s="1">
        <v>5.31</v>
      </c>
      <c r="C217" s="1">
        <v>6.17</v>
      </c>
      <c r="D217" s="1">
        <v>6.51</v>
      </c>
      <c r="E217" s="1">
        <v>6.5</v>
      </c>
      <c r="F217" s="1">
        <v>6.49</v>
      </c>
      <c r="G217" s="1">
        <v>6.39</v>
      </c>
      <c r="H217" s="1">
        <v>6.11</v>
      </c>
      <c r="I217" s="1">
        <v>6.07</v>
      </c>
      <c r="J217" s="1">
        <v>6.04</v>
      </c>
      <c r="K217" s="1">
        <v>6.04</v>
      </c>
      <c r="L217" s="1">
        <v>5.98</v>
      </c>
      <c r="M217" s="1">
        <v>6.01</v>
      </c>
      <c r="N217" s="1">
        <v>5.98</v>
      </c>
      <c r="O217" s="1">
        <v>5.96</v>
      </c>
      <c r="P217" t="s">
        <v>473</v>
      </c>
      <c r="Q217" t="s">
        <v>747</v>
      </c>
      <c r="R217" s="1" t="s">
        <v>526</v>
      </c>
      <c r="S217" s="1">
        <f>IFERROR(AVERAGE(Rural[[#This Row],[‫دیسمبر‬‏]]:Rural[[#This Row],[‫اكتوبر‬‏]]),"")</f>
        <v>6.5</v>
      </c>
      <c r="T217" s="1">
        <f>IFERROR(AVERAGE(Rural[[#This Row],[‫سبتمبر‬‏]]:Rural[[#This Row],[‫یولیو‬‏]]),"")</f>
        <v>6.19</v>
      </c>
      <c r="U217" s="1">
        <f>IFERROR(AVERAGE(Rural[[#This Row],[‫یونیو‬‏]]:Rural[[#This Row],[‫ابریل‬‏]]),"")</f>
        <v>6.0200000000000005</v>
      </c>
      <c r="V217" s="1">
        <f>IFERROR(AVERAGE(Rural[[#This Row],[‫مارس‬‏]]:Rural[[#This Row],[‫ینایر‬‏]]),"")</f>
        <v>5.9833333333333334</v>
      </c>
    </row>
    <row r="218" spans="1:22" x14ac:dyDescent="0.35">
      <c r="A218" s="1">
        <v>13.7</v>
      </c>
      <c r="B218" s="1">
        <v>4.2699999999999996</v>
      </c>
      <c r="C218" s="1">
        <v>4.8499999999999996</v>
      </c>
      <c r="D218" s="1">
        <v>5.01</v>
      </c>
      <c r="E218" s="1">
        <v>4.92</v>
      </c>
      <c r="F218" s="1">
        <v>4.91</v>
      </c>
      <c r="G218" s="1">
        <v>4.88</v>
      </c>
      <c r="H218" s="1">
        <v>4.88</v>
      </c>
      <c r="I218" s="1">
        <v>4.82</v>
      </c>
      <c r="J218" s="1">
        <v>4.79</v>
      </c>
      <c r="K218" s="1">
        <v>4.79</v>
      </c>
      <c r="L218" s="1">
        <v>4.9400000000000004</v>
      </c>
      <c r="M218" s="1">
        <v>4.79</v>
      </c>
      <c r="N218" s="1">
        <v>4.7699999999999996</v>
      </c>
      <c r="O218" s="1">
        <v>4.75</v>
      </c>
      <c r="P218" t="s">
        <v>475</v>
      </c>
      <c r="Q218" t="s">
        <v>748</v>
      </c>
      <c r="R218" s="1" t="s">
        <v>526</v>
      </c>
      <c r="S218" s="1">
        <f>IFERROR(AVERAGE(Rural[[#This Row],[‫دیسمبر‬‏]]:Rural[[#This Row],[‫اكتوبر‬‏]]),"")</f>
        <v>4.9466666666666663</v>
      </c>
      <c r="T218" s="1">
        <f>IFERROR(AVERAGE(Rural[[#This Row],[‫سبتمبر‬‏]]:Rural[[#This Row],[‫یولیو‬‏]]),"")</f>
        <v>4.8600000000000003</v>
      </c>
      <c r="U218" s="1">
        <f>IFERROR(AVERAGE(Rural[[#This Row],[‫یونیو‬‏]]:Rural[[#This Row],[‫ابریل‬‏]]),"")</f>
        <v>4.84</v>
      </c>
      <c r="V218" s="1">
        <f>IFERROR(AVERAGE(Rural[[#This Row],[‫مارس‬‏]]:Rural[[#This Row],[‫ینایر‬‏]]),"")</f>
        <v>4.7699999999999996</v>
      </c>
    </row>
    <row r="219" spans="1:22" x14ac:dyDescent="0.35">
      <c r="A219" s="1">
        <v>22.1</v>
      </c>
      <c r="B219" s="1">
        <v>11.85</v>
      </c>
      <c r="C219" s="1">
        <v>14.46</v>
      </c>
      <c r="D219" s="1">
        <v>14.9</v>
      </c>
      <c r="E219" s="1">
        <v>14.9</v>
      </c>
      <c r="F219" s="1">
        <v>14.9</v>
      </c>
      <c r="G219" s="1">
        <v>14.72</v>
      </c>
      <c r="H219" s="1">
        <v>14.72</v>
      </c>
      <c r="I219" s="1">
        <v>14.47</v>
      </c>
      <c r="J219" s="1">
        <v>14.33</v>
      </c>
      <c r="K219" s="1">
        <v>14.21</v>
      </c>
      <c r="L219" s="1">
        <v>14.04</v>
      </c>
      <c r="M219" s="1">
        <v>14.15</v>
      </c>
      <c r="N219" s="1">
        <v>14.15</v>
      </c>
      <c r="O219" s="1">
        <v>14.05</v>
      </c>
      <c r="P219" t="s">
        <v>749</v>
      </c>
      <c r="Q219" t="s">
        <v>750</v>
      </c>
      <c r="R219" s="1" t="s">
        <v>526</v>
      </c>
      <c r="S219" s="1">
        <f>IFERROR(AVERAGE(Rural[[#This Row],[‫دیسمبر‬‏]]:Rural[[#This Row],[‫اكتوبر‬‏]]),"")</f>
        <v>14.9</v>
      </c>
      <c r="T219" s="1">
        <f>IFERROR(AVERAGE(Rural[[#This Row],[‫سبتمبر‬‏]]:Rural[[#This Row],[‫یولیو‬‏]]),"")</f>
        <v>14.636666666666668</v>
      </c>
      <c r="U219" s="1">
        <f>IFERROR(AVERAGE(Rural[[#This Row],[‫یونیو‬‏]]:Rural[[#This Row],[‫ابریل‬‏]]),"")</f>
        <v>14.193333333333333</v>
      </c>
      <c r="V219" s="1">
        <f>IFERROR(AVERAGE(Rural[[#This Row],[‫مارس‬‏]]:Rural[[#This Row],[‫ینایر‬‏]]),"")</f>
        <v>14.116666666666667</v>
      </c>
    </row>
    <row r="220" spans="1:22" x14ac:dyDescent="0.35">
      <c r="A220" s="1">
        <v>21.4</v>
      </c>
      <c r="B220" s="1">
        <v>21.35</v>
      </c>
      <c r="C220" s="1">
        <v>25.91</v>
      </c>
      <c r="D220" s="1">
        <v>26.85</v>
      </c>
      <c r="E220" s="1">
        <v>26.77</v>
      </c>
      <c r="F220" s="1">
        <v>26.77</v>
      </c>
      <c r="G220" s="1">
        <v>26.5</v>
      </c>
      <c r="H220" s="1">
        <v>26.5</v>
      </c>
      <c r="I220" s="1">
        <v>26.18</v>
      </c>
      <c r="J220" s="1">
        <v>25.74</v>
      </c>
      <c r="K220" s="1">
        <v>25.3</v>
      </c>
      <c r="L220" s="1">
        <v>24.93</v>
      </c>
      <c r="M220" s="1">
        <v>25.18</v>
      </c>
      <c r="N220" s="1">
        <v>25.18</v>
      </c>
      <c r="O220" s="1">
        <v>25.06</v>
      </c>
      <c r="P220" t="s">
        <v>420</v>
      </c>
      <c r="Q220" t="s">
        <v>751</v>
      </c>
      <c r="R220" s="1" t="s">
        <v>526</v>
      </c>
      <c r="S220" s="1">
        <f>IFERROR(AVERAGE(Rural[[#This Row],[‫دیسمبر‬‏]]:Rural[[#This Row],[‫اكتوبر‬‏]]),"")</f>
        <v>26.796666666666667</v>
      </c>
      <c r="T220" s="1">
        <f>IFERROR(AVERAGE(Rural[[#This Row],[‫سبتمبر‬‏]]:Rural[[#This Row],[‫یولیو‬‏]]),"")</f>
        <v>26.393333333333334</v>
      </c>
      <c r="U220" s="1">
        <f>IFERROR(AVERAGE(Rural[[#This Row],[‫یونیو‬‏]]:Rural[[#This Row],[‫ابریل‬‏]]),"")</f>
        <v>25.323333333333334</v>
      </c>
      <c r="V220" s="1">
        <f>IFERROR(AVERAGE(Rural[[#This Row],[‫مارس‬‏]]:Rural[[#This Row],[‫ینایر‬‏]]),"")</f>
        <v>25.14</v>
      </c>
    </row>
    <row r="221" spans="1:22" x14ac:dyDescent="0.35">
      <c r="A221" s="1">
        <v>18.5</v>
      </c>
      <c r="B221" s="1">
        <v>7.58</v>
      </c>
      <c r="C221" s="1">
        <v>8.98</v>
      </c>
      <c r="D221" s="1">
        <v>9.36</v>
      </c>
      <c r="E221" s="1">
        <v>9.31</v>
      </c>
      <c r="F221" s="1">
        <v>9.31</v>
      </c>
      <c r="G221" s="1">
        <v>9.0399999999999991</v>
      </c>
      <c r="H221" s="1">
        <v>9.0399999999999991</v>
      </c>
      <c r="I221" s="1">
        <v>9.0399999999999991</v>
      </c>
      <c r="J221" s="1">
        <v>8.9499999999999993</v>
      </c>
      <c r="K221" s="1">
        <v>8.91</v>
      </c>
      <c r="L221" s="1">
        <v>8.67</v>
      </c>
      <c r="M221" s="1">
        <v>8.75</v>
      </c>
      <c r="N221" s="1">
        <v>8.75</v>
      </c>
      <c r="O221" s="1">
        <v>8.67</v>
      </c>
      <c r="P221" t="s">
        <v>752</v>
      </c>
      <c r="Q221" t="s">
        <v>753</v>
      </c>
      <c r="R221" s="1" t="s">
        <v>526</v>
      </c>
      <c r="S221" s="1">
        <f>IFERROR(AVERAGE(Rural[[#This Row],[‫دیسمبر‬‏]]:Rural[[#This Row],[‫اكتوبر‬‏]]),"")</f>
        <v>9.326666666666668</v>
      </c>
      <c r="T221" s="1">
        <f>IFERROR(AVERAGE(Rural[[#This Row],[‫سبتمبر‬‏]]:Rural[[#This Row],[‫یولیو‬‏]]),"")</f>
        <v>9.0399999999999991</v>
      </c>
      <c r="U221" s="1">
        <f>IFERROR(AVERAGE(Rural[[#This Row],[‫یونیو‬‏]]:Rural[[#This Row],[‫ابریل‬‏]]),"")</f>
        <v>8.8433333333333337</v>
      </c>
      <c r="V221" s="1">
        <f>IFERROR(AVERAGE(Rural[[#This Row],[‫مارس‬‏]]:Rural[[#This Row],[‫ینایر‬‏]]),"")</f>
        <v>8.7233333333333345</v>
      </c>
    </row>
    <row r="222" spans="1:22" x14ac:dyDescent="0.35">
      <c r="A222" s="1">
        <v>16.7</v>
      </c>
      <c r="B222" s="1">
        <v>19.93</v>
      </c>
      <c r="C222" s="1">
        <v>23.27</v>
      </c>
      <c r="D222" s="1">
        <v>24.78</v>
      </c>
      <c r="E222" s="1">
        <v>24.78</v>
      </c>
      <c r="F222" s="1">
        <v>24.78</v>
      </c>
      <c r="G222" s="1">
        <v>24.78</v>
      </c>
      <c r="H222" s="1">
        <v>24.24</v>
      </c>
      <c r="I222" s="1">
        <v>24.24</v>
      </c>
      <c r="J222" s="1">
        <v>22.09</v>
      </c>
      <c r="K222" s="1">
        <v>22.09</v>
      </c>
      <c r="L222" s="1">
        <v>21.93</v>
      </c>
      <c r="M222" s="1">
        <v>22.21</v>
      </c>
      <c r="N222" s="1">
        <v>22.21</v>
      </c>
      <c r="O222" s="1">
        <v>21.11</v>
      </c>
      <c r="P222" t="s">
        <v>481</v>
      </c>
      <c r="Q222" t="s">
        <v>754</v>
      </c>
      <c r="R222" s="1" t="s">
        <v>526</v>
      </c>
      <c r="S222" s="1">
        <f>IFERROR(AVERAGE(Rural[[#This Row],[‫دیسمبر‬‏]]:Rural[[#This Row],[‫اكتوبر‬‏]]),"")</f>
        <v>24.78</v>
      </c>
      <c r="T222" s="1">
        <f>IFERROR(AVERAGE(Rural[[#This Row],[‫سبتمبر‬‏]]:Rural[[#This Row],[‫یولیو‬‏]]),"")</f>
        <v>24.419999999999998</v>
      </c>
      <c r="U222" s="1">
        <f>IFERROR(AVERAGE(Rural[[#This Row],[‫یونیو‬‏]]:Rural[[#This Row],[‫ابریل‬‏]]),"")</f>
        <v>22.036666666666665</v>
      </c>
      <c r="V222" s="1">
        <f>IFERROR(AVERAGE(Rural[[#This Row],[‫مارس‬‏]]:Rural[[#This Row],[‫ینایر‬‏]]),"")</f>
        <v>21.843333333333334</v>
      </c>
    </row>
    <row r="223" spans="1:22" x14ac:dyDescent="0.35">
      <c r="A223" s="1">
        <v>16.100000000000001</v>
      </c>
      <c r="B223" s="1">
        <v>66.78</v>
      </c>
      <c r="C223" s="1">
        <v>77.52</v>
      </c>
      <c r="D223" s="1">
        <v>80.680000000000007</v>
      </c>
      <c r="E223" s="1">
        <v>80.569999999999993</v>
      </c>
      <c r="F223" s="1">
        <v>80.47</v>
      </c>
      <c r="G223" s="1">
        <v>79.989999999999995</v>
      </c>
      <c r="H223" s="1">
        <v>79.849999999999994</v>
      </c>
      <c r="I223" s="1">
        <v>79.84</v>
      </c>
      <c r="J223" s="1">
        <v>77.37</v>
      </c>
      <c r="K223" s="1">
        <v>77.06</v>
      </c>
      <c r="L223" s="1">
        <v>64.97</v>
      </c>
      <c r="M223" s="1">
        <v>76.319999999999993</v>
      </c>
      <c r="N223" s="1">
        <v>76.33</v>
      </c>
      <c r="O223" s="1">
        <v>76.77</v>
      </c>
      <c r="P223" t="s">
        <v>755</v>
      </c>
      <c r="Q223" t="s">
        <v>756</v>
      </c>
      <c r="R223" s="1" t="s">
        <v>526</v>
      </c>
      <c r="S223" s="1">
        <f>IFERROR(AVERAGE(Rural[[#This Row],[‫دیسمبر‬‏]]:Rural[[#This Row],[‫اكتوبر‬‏]]),"")</f>
        <v>80.573333333333338</v>
      </c>
      <c r="T223" s="1">
        <f>IFERROR(AVERAGE(Rural[[#This Row],[‫سبتمبر‬‏]]:Rural[[#This Row],[‫یولیو‬‏]]),"")</f>
        <v>79.893333333333331</v>
      </c>
      <c r="U223" s="1">
        <f>IFERROR(AVERAGE(Rural[[#This Row],[‫یونیو‬‏]]:Rural[[#This Row],[‫ابریل‬‏]]),"")</f>
        <v>73.13333333333334</v>
      </c>
      <c r="V223" s="1">
        <f>IFERROR(AVERAGE(Rural[[#This Row],[‫مارس‬‏]]:Rural[[#This Row],[‫ینایر‬‏]]),"")</f>
        <v>76.473333333333315</v>
      </c>
    </row>
    <row r="224" spans="1:22" x14ac:dyDescent="0.35">
      <c r="A224" s="1">
        <v>10.1</v>
      </c>
      <c r="B224" s="1">
        <v>8.98</v>
      </c>
      <c r="C224" s="1">
        <v>9.8800000000000008</v>
      </c>
      <c r="D224" s="1">
        <v>9.99</v>
      </c>
      <c r="E224" s="1">
        <v>9.98</v>
      </c>
      <c r="F224" s="1">
        <v>9.98</v>
      </c>
      <c r="G224" s="1">
        <v>9.93</v>
      </c>
      <c r="H224" s="1">
        <v>9.93</v>
      </c>
      <c r="I224" s="1">
        <v>9.93</v>
      </c>
      <c r="J224" s="1">
        <v>9.9</v>
      </c>
      <c r="K224" s="1">
        <v>9.85</v>
      </c>
      <c r="L224" s="1">
        <v>9.8699999999999992</v>
      </c>
      <c r="M224" s="1">
        <v>9.7899999999999991</v>
      </c>
      <c r="N224" s="1">
        <v>9.73</v>
      </c>
      <c r="O224" s="1">
        <v>9.75</v>
      </c>
      <c r="P224" t="s">
        <v>483</v>
      </c>
      <c r="Q224" t="s">
        <v>757</v>
      </c>
      <c r="R224" s="1" t="s">
        <v>526</v>
      </c>
      <c r="S224" s="1">
        <f>IFERROR(AVERAGE(Rural[[#This Row],[‫دیسمبر‬‏]]:Rural[[#This Row],[‫اكتوبر‬‏]]),"")</f>
        <v>9.9833333333333325</v>
      </c>
      <c r="T224" s="1">
        <f>IFERROR(AVERAGE(Rural[[#This Row],[‫سبتمبر‬‏]]:Rural[[#This Row],[‫یولیو‬‏]]),"")</f>
        <v>9.93</v>
      </c>
      <c r="U224" s="1">
        <f>IFERROR(AVERAGE(Rural[[#This Row],[‫یونیو‬‏]]:Rural[[#This Row],[‫ابریل‬‏]]),"")</f>
        <v>9.8733333333333331</v>
      </c>
      <c r="V224" s="1">
        <f>IFERROR(AVERAGE(Rural[[#This Row],[‫مارس‬‏]]:Rural[[#This Row],[‫ینایر‬‏]]),"")</f>
        <v>9.7566666666666659</v>
      </c>
    </row>
    <row r="225" spans="1:22" x14ac:dyDescent="0.35">
      <c r="A225" s="1">
        <v>9.9</v>
      </c>
      <c r="B225" s="1">
        <v>26.14</v>
      </c>
      <c r="C225" s="1">
        <v>28.73</v>
      </c>
      <c r="D225" s="1">
        <v>29.45</v>
      </c>
      <c r="E225" s="1">
        <v>29.33</v>
      </c>
      <c r="F225" s="1">
        <v>29.33</v>
      </c>
      <c r="G225" s="1">
        <v>29.17</v>
      </c>
      <c r="H225" s="1">
        <v>29.17</v>
      </c>
      <c r="I225" s="1">
        <v>29.17</v>
      </c>
      <c r="J225" s="1">
        <v>28.92</v>
      </c>
      <c r="K225" s="1">
        <v>28.27</v>
      </c>
      <c r="L225" s="1">
        <v>27.93</v>
      </c>
      <c r="M225" s="1">
        <v>28.06</v>
      </c>
      <c r="N225" s="1">
        <v>27.96</v>
      </c>
      <c r="O225" s="1">
        <v>28</v>
      </c>
      <c r="P225" t="s">
        <v>420</v>
      </c>
      <c r="Q225" t="s">
        <v>758</v>
      </c>
      <c r="R225" s="1" t="s">
        <v>526</v>
      </c>
      <c r="S225" s="1">
        <f>IFERROR(AVERAGE(Rural[[#This Row],[‫دیسمبر‬‏]]:Rural[[#This Row],[‫اكتوبر‬‏]]),"")</f>
        <v>29.37</v>
      </c>
      <c r="T225" s="1">
        <f>IFERROR(AVERAGE(Rural[[#This Row],[‫سبتمبر‬‏]]:Rural[[#This Row],[‫یولیو‬‏]]),"")</f>
        <v>29.17</v>
      </c>
      <c r="U225" s="1">
        <f>IFERROR(AVERAGE(Rural[[#This Row],[‫یونیو‬‏]]:Rural[[#This Row],[‫ابریل‬‏]]),"")</f>
        <v>28.373333333333335</v>
      </c>
      <c r="V225" s="1">
        <f>IFERROR(AVERAGE(Rural[[#This Row],[‫مارس‬‏]]:Rural[[#This Row],[‫ینایر‬‏]]),"")</f>
        <v>28.006666666666664</v>
      </c>
    </row>
    <row r="226" spans="1:22" x14ac:dyDescent="0.35">
      <c r="A226" s="1">
        <v>7.7</v>
      </c>
      <c r="B226" s="1">
        <v>50.26</v>
      </c>
      <c r="C226" s="1">
        <v>54.14</v>
      </c>
      <c r="D226" s="1">
        <v>55.93</v>
      </c>
      <c r="E226" s="1">
        <v>55.68</v>
      </c>
      <c r="F226" s="1">
        <v>55.68</v>
      </c>
      <c r="G226" s="1">
        <v>55.28</v>
      </c>
      <c r="H226" s="1">
        <v>54.64</v>
      </c>
      <c r="I226" s="1">
        <v>55.21</v>
      </c>
      <c r="J226" s="1">
        <v>53.35</v>
      </c>
      <c r="K226" s="1">
        <v>53.03</v>
      </c>
      <c r="L226" s="1">
        <v>52.59</v>
      </c>
      <c r="M226" s="1">
        <v>52.79</v>
      </c>
      <c r="N226" s="1">
        <v>52.59</v>
      </c>
      <c r="O226" s="1">
        <v>52.94</v>
      </c>
      <c r="P226" t="s">
        <v>409</v>
      </c>
      <c r="Q226" t="s">
        <v>759</v>
      </c>
      <c r="R226" s="1" t="s">
        <v>526</v>
      </c>
      <c r="S226" s="1">
        <f>IFERROR(AVERAGE(Rural[[#This Row],[‫دیسمبر‬‏]]:Rural[[#This Row],[‫اكتوبر‬‏]]),"")</f>
        <v>55.763333333333328</v>
      </c>
      <c r="T226" s="1">
        <f>IFERROR(AVERAGE(Rural[[#This Row],[‫سبتمبر‬‏]]:Rural[[#This Row],[‫یولیو‬‏]]),"")</f>
        <v>55.043333333333329</v>
      </c>
      <c r="U226" s="1">
        <f>IFERROR(AVERAGE(Rural[[#This Row],[‫یونیو‬‏]]:Rural[[#This Row],[‫ابریل‬‏]]),"")</f>
        <v>52.99</v>
      </c>
      <c r="V226" s="1">
        <f>IFERROR(AVERAGE(Rural[[#This Row],[‫مارس‬‏]]:Rural[[#This Row],[‫ینایر‬‏]]),"")</f>
        <v>52.773333333333333</v>
      </c>
    </row>
    <row r="227" spans="1:22" x14ac:dyDescent="0.35">
      <c r="A227" s="1">
        <v>11.9</v>
      </c>
      <c r="B227" s="1">
        <v>9.5</v>
      </c>
      <c r="C227" s="1">
        <v>10.63</v>
      </c>
      <c r="D227" s="1">
        <v>11</v>
      </c>
      <c r="E227" s="1">
        <v>11</v>
      </c>
      <c r="F227" s="1">
        <v>11</v>
      </c>
      <c r="G227" s="1">
        <v>10.95</v>
      </c>
      <c r="H227" s="1">
        <v>10.85</v>
      </c>
      <c r="I227" s="1">
        <v>10.83</v>
      </c>
      <c r="J227" s="1">
        <v>10.74</v>
      </c>
      <c r="K227" s="1">
        <v>10.48</v>
      </c>
      <c r="L227" s="1">
        <v>10.5</v>
      </c>
      <c r="M227" s="1">
        <v>10.07</v>
      </c>
      <c r="N227" s="1">
        <v>10.07</v>
      </c>
      <c r="O227" s="1">
        <v>10.07</v>
      </c>
      <c r="P227" t="s">
        <v>487</v>
      </c>
      <c r="Q227" t="s">
        <v>760</v>
      </c>
      <c r="R227" s="1" t="s">
        <v>526</v>
      </c>
      <c r="S227" s="1">
        <f>IFERROR(AVERAGE(Rural[[#This Row],[‫دیسمبر‬‏]]:Rural[[#This Row],[‫اكتوبر‬‏]]),"")</f>
        <v>11</v>
      </c>
      <c r="T227" s="1">
        <f>IFERROR(AVERAGE(Rural[[#This Row],[‫سبتمبر‬‏]]:Rural[[#This Row],[‫یولیو‬‏]]),"")</f>
        <v>10.876666666666665</v>
      </c>
      <c r="U227" s="1">
        <f>IFERROR(AVERAGE(Rural[[#This Row],[‫یونیو‬‏]]:Rural[[#This Row],[‫ابریل‬‏]]),"")</f>
        <v>10.573333333333332</v>
      </c>
      <c r="V227" s="1">
        <f>IFERROR(AVERAGE(Rural[[#This Row],[‫مارس‬‏]]:Rural[[#This Row],[‫ینایر‬‏]]),"")</f>
        <v>10.07</v>
      </c>
    </row>
    <row r="228" spans="1:22" x14ac:dyDescent="0.35">
      <c r="A228" s="1">
        <v>9.5</v>
      </c>
      <c r="B228" s="1">
        <v>36.14</v>
      </c>
      <c r="C228" s="1">
        <v>39.590000000000003</v>
      </c>
      <c r="D228" s="1">
        <v>40.82</v>
      </c>
      <c r="E228" s="1">
        <v>40.82</v>
      </c>
      <c r="F228" s="1">
        <v>40.82</v>
      </c>
      <c r="G228" s="1">
        <v>40.590000000000003</v>
      </c>
      <c r="H228" s="1">
        <v>40.43</v>
      </c>
      <c r="I228" s="1">
        <v>40.28</v>
      </c>
      <c r="J228" s="1">
        <v>40.06</v>
      </c>
      <c r="K228" s="1">
        <v>39.729999999999997</v>
      </c>
      <c r="L228" s="1">
        <v>37.479999999999997</v>
      </c>
      <c r="M228" s="1">
        <v>38.020000000000003</v>
      </c>
      <c r="N228" s="1">
        <v>38.01</v>
      </c>
      <c r="O228" s="1">
        <v>38.01</v>
      </c>
      <c r="P228" t="s">
        <v>761</v>
      </c>
      <c r="Q228" t="s">
        <v>762</v>
      </c>
      <c r="R228" s="1" t="s">
        <v>526</v>
      </c>
      <c r="S228" s="1">
        <f>IFERROR(AVERAGE(Rural[[#This Row],[‫دیسمبر‬‏]]:Rural[[#This Row],[‫اكتوبر‬‏]]),"")</f>
        <v>40.82</v>
      </c>
      <c r="T228" s="1">
        <f>IFERROR(AVERAGE(Rural[[#This Row],[‫سبتمبر‬‏]]:Rural[[#This Row],[‫یولیو‬‏]]),"")</f>
        <v>40.433333333333337</v>
      </c>
      <c r="U228" s="1">
        <f>IFERROR(AVERAGE(Rural[[#This Row],[‫یونیو‬‏]]:Rural[[#This Row],[‫ابریل‬‏]]),"")</f>
        <v>39.089999999999996</v>
      </c>
      <c r="V228" s="1">
        <f>IFERROR(AVERAGE(Rural[[#This Row],[‫مارس‬‏]]:Rural[[#This Row],[‫ینایر‬‏]]),"")</f>
        <v>38.013333333333328</v>
      </c>
    </row>
    <row r="229" spans="1:22" x14ac:dyDescent="0.35">
      <c r="A229" s="1">
        <v>8.3000000000000007</v>
      </c>
      <c r="B229" s="1">
        <v>12.14</v>
      </c>
      <c r="C229" s="1">
        <v>13.15</v>
      </c>
      <c r="D229" s="1">
        <v>13.33</v>
      </c>
      <c r="E229" s="1">
        <v>13.28</v>
      </c>
      <c r="F229" s="1">
        <v>13.25</v>
      </c>
      <c r="G229" s="1">
        <v>13.26</v>
      </c>
      <c r="H229" s="1">
        <v>13.26</v>
      </c>
      <c r="I229" s="1">
        <v>13.15</v>
      </c>
      <c r="J229" s="1">
        <v>13.08</v>
      </c>
      <c r="K229" s="1">
        <v>13.36</v>
      </c>
      <c r="L229" s="1">
        <v>12.58</v>
      </c>
      <c r="M229" s="1">
        <v>13.12</v>
      </c>
      <c r="N229" s="1">
        <v>13.05</v>
      </c>
      <c r="O229" s="1">
        <v>13.04</v>
      </c>
      <c r="P229" t="s">
        <v>491</v>
      </c>
      <c r="Q229" t="s">
        <v>763</v>
      </c>
      <c r="R229" s="1" t="s">
        <v>526</v>
      </c>
      <c r="S229" s="1">
        <f>IFERROR(AVERAGE(Rural[[#This Row],[‫دیسمبر‬‏]]:Rural[[#This Row],[‫اكتوبر‬‏]]),"")</f>
        <v>13.286666666666667</v>
      </c>
      <c r="T229" s="1">
        <f>IFERROR(AVERAGE(Rural[[#This Row],[‫سبتمبر‬‏]]:Rural[[#This Row],[‫یولیو‬‏]]),"")</f>
        <v>13.223333333333334</v>
      </c>
      <c r="U229" s="1">
        <f>IFERROR(AVERAGE(Rural[[#This Row],[‫یونیو‬‏]]:Rural[[#This Row],[‫ابریل‬‏]]),"")</f>
        <v>13.006666666666666</v>
      </c>
      <c r="V229" s="1">
        <f>IFERROR(AVERAGE(Rural[[#This Row],[‫مارس‬‏]]:Rural[[#This Row],[‫ینایر‬‏]]),"")</f>
        <v>13.07</v>
      </c>
    </row>
    <row r="230" spans="1:22" x14ac:dyDescent="0.35">
      <c r="A230" s="1">
        <v>16.7</v>
      </c>
      <c r="B230" s="1">
        <v>45.82</v>
      </c>
      <c r="C230" s="1">
        <v>53.46</v>
      </c>
      <c r="D230" s="1">
        <v>54.4</v>
      </c>
      <c r="E230" s="1">
        <v>54.3</v>
      </c>
      <c r="F230" s="1">
        <v>54.3</v>
      </c>
      <c r="G230" s="1">
        <v>54.08</v>
      </c>
      <c r="H230" s="1">
        <v>53.7</v>
      </c>
      <c r="I230" s="1">
        <v>53.58</v>
      </c>
      <c r="J230" s="1">
        <v>53.37</v>
      </c>
      <c r="K230" s="1">
        <v>53.11</v>
      </c>
      <c r="L230" s="1">
        <v>53.56</v>
      </c>
      <c r="M230" s="1">
        <v>52.51</v>
      </c>
      <c r="N230" s="1">
        <v>52.32</v>
      </c>
      <c r="O230" s="1">
        <v>52.32</v>
      </c>
      <c r="P230" t="s">
        <v>493</v>
      </c>
      <c r="Q230" t="s">
        <v>764</v>
      </c>
      <c r="R230" s="1" t="s">
        <v>526</v>
      </c>
      <c r="S230" s="1">
        <f>IFERROR(AVERAGE(Rural[[#This Row],[‫دیسمبر‬‏]]:Rural[[#This Row],[‫اكتوبر‬‏]]),"")</f>
        <v>54.333333333333336</v>
      </c>
      <c r="T230" s="1">
        <f>IFERROR(AVERAGE(Rural[[#This Row],[‫سبتمبر‬‏]]:Rural[[#This Row],[‫یولیو‬‏]]),"")</f>
        <v>53.786666666666669</v>
      </c>
      <c r="U230" s="1">
        <f>IFERROR(AVERAGE(Rural[[#This Row],[‫یونیو‬‏]]:Rural[[#This Row],[‫ابریل‬‏]]),"")</f>
        <v>53.346666666666664</v>
      </c>
      <c r="V230" s="1">
        <f>IFERROR(AVERAGE(Rural[[#This Row],[‫مارس‬‏]]:Rural[[#This Row],[‫ینایر‬‏]]),"")</f>
        <v>52.383333333333333</v>
      </c>
    </row>
    <row r="231" spans="1:22" x14ac:dyDescent="0.35">
      <c r="A231" s="1">
        <v>10.199999999999999</v>
      </c>
      <c r="B231" s="1">
        <v>24.42</v>
      </c>
      <c r="C231" s="1">
        <v>26.92</v>
      </c>
      <c r="D231" s="1">
        <v>27.54</v>
      </c>
      <c r="E231" s="1">
        <v>27.32</v>
      </c>
      <c r="F231" s="1">
        <v>27.32</v>
      </c>
      <c r="G231" s="1">
        <v>27.26</v>
      </c>
      <c r="H231" s="1">
        <v>27.13</v>
      </c>
      <c r="I231" s="1">
        <v>27.18</v>
      </c>
      <c r="J231" s="1">
        <v>26.8</v>
      </c>
      <c r="K231" s="1">
        <v>26.64</v>
      </c>
      <c r="L231" s="1">
        <v>26.43</v>
      </c>
      <c r="M231" s="1">
        <v>26.56</v>
      </c>
      <c r="N231" s="1">
        <v>26.56</v>
      </c>
      <c r="O231" s="1">
        <v>26.26</v>
      </c>
      <c r="P231" t="s">
        <v>495</v>
      </c>
      <c r="Q231" t="s">
        <v>765</v>
      </c>
      <c r="R231" s="1" t="s">
        <v>526</v>
      </c>
      <c r="S231" s="1">
        <f>IFERROR(AVERAGE(Rural[[#This Row],[‫دیسمبر‬‏]]:Rural[[#This Row],[‫اكتوبر‬‏]]),"")</f>
        <v>27.393333333333334</v>
      </c>
      <c r="T231" s="1">
        <f>IFERROR(AVERAGE(Rural[[#This Row],[‫سبتمبر‬‏]]:Rural[[#This Row],[‫یولیو‬‏]]),"")</f>
        <v>27.189999999999998</v>
      </c>
      <c r="U231" s="1">
        <f>IFERROR(AVERAGE(Rural[[#This Row],[‫یونیو‬‏]]:Rural[[#This Row],[‫ابریل‬‏]]),"")</f>
        <v>26.623333333333335</v>
      </c>
      <c r="V231" s="1">
        <f>IFERROR(AVERAGE(Rural[[#This Row],[‫مارس‬‏]]:Rural[[#This Row],[‫ینایر‬‏]]),"")</f>
        <v>26.459999999999997</v>
      </c>
    </row>
    <row r="232" spans="1:22" x14ac:dyDescent="0.35">
      <c r="A232" s="1">
        <v>7.6</v>
      </c>
      <c r="B232" s="1">
        <v>28.76</v>
      </c>
      <c r="C232" s="1">
        <v>30.94</v>
      </c>
      <c r="D232" s="1">
        <v>32.42</v>
      </c>
      <c r="E232" s="1">
        <v>31.89</v>
      </c>
      <c r="F232" s="1">
        <v>31.87</v>
      </c>
      <c r="G232" s="1">
        <v>31.65</v>
      </c>
      <c r="H232" s="1">
        <v>31.63</v>
      </c>
      <c r="I232" s="1">
        <v>31.2</v>
      </c>
      <c r="J232" s="1">
        <v>30.98</v>
      </c>
      <c r="K232" s="1">
        <v>30.54</v>
      </c>
      <c r="L232" s="1">
        <v>29.21</v>
      </c>
      <c r="M232" s="1">
        <v>30.14</v>
      </c>
      <c r="N232" s="1">
        <v>30.14</v>
      </c>
      <c r="O232" s="1">
        <v>29.68</v>
      </c>
      <c r="P232" t="s">
        <v>442</v>
      </c>
      <c r="Q232" t="s">
        <v>766</v>
      </c>
      <c r="R232" s="1" t="s">
        <v>526</v>
      </c>
      <c r="S232" s="1">
        <f>IFERROR(AVERAGE(Rural[[#This Row],[‫دیسمبر‬‏]]:Rural[[#This Row],[‫اكتوبر‬‏]]),"")</f>
        <v>32.06</v>
      </c>
      <c r="T232" s="1">
        <f>IFERROR(AVERAGE(Rural[[#This Row],[‫سبتمبر‬‏]]:Rural[[#This Row],[‫یولیو‬‏]]),"")</f>
        <v>31.493333333333336</v>
      </c>
      <c r="U232" s="1">
        <f>IFERROR(AVERAGE(Rural[[#This Row],[‫یونیو‬‏]]:Rural[[#This Row],[‫ابریل‬‏]]),"")</f>
        <v>30.243333333333329</v>
      </c>
      <c r="V232" s="1">
        <f>IFERROR(AVERAGE(Rural[[#This Row],[‫مارس‬‏]]:Rural[[#This Row],[‫ینایر‬‏]]),"")</f>
        <v>29.986666666666668</v>
      </c>
    </row>
    <row r="233" spans="1:22" x14ac:dyDescent="0.35">
      <c r="A233" s="1">
        <v>6.5</v>
      </c>
      <c r="B233" s="1">
        <v>45.84</v>
      </c>
      <c r="C233" s="1">
        <v>48.83</v>
      </c>
      <c r="D233" s="1">
        <v>52</v>
      </c>
      <c r="E233" s="1">
        <v>54.94</v>
      </c>
      <c r="F233" s="1">
        <v>52</v>
      </c>
      <c r="G233" s="1">
        <v>51.44</v>
      </c>
      <c r="H233" s="1">
        <v>51.44</v>
      </c>
      <c r="I233" s="1">
        <v>51</v>
      </c>
      <c r="J233" s="1">
        <v>45.85</v>
      </c>
      <c r="K233" s="1">
        <v>45.63</v>
      </c>
      <c r="L233" s="1">
        <v>45.56</v>
      </c>
      <c r="M233" s="1">
        <v>45.38</v>
      </c>
      <c r="N233" s="1">
        <v>45.38</v>
      </c>
      <c r="O233" s="1">
        <v>45.37</v>
      </c>
      <c r="P233" t="s">
        <v>498</v>
      </c>
      <c r="Q233" t="s">
        <v>767</v>
      </c>
      <c r="R233" s="1" t="s">
        <v>526</v>
      </c>
      <c r="S233" s="1">
        <f>IFERROR(AVERAGE(Rural[[#This Row],[‫دیسمبر‬‏]]:Rural[[#This Row],[‫اكتوبر‬‏]]),"")</f>
        <v>52.98</v>
      </c>
      <c r="T233" s="1">
        <f>IFERROR(AVERAGE(Rural[[#This Row],[‫سبتمبر‬‏]]:Rural[[#This Row],[‫یولیو‬‏]]),"")</f>
        <v>51.293333333333329</v>
      </c>
      <c r="U233" s="1">
        <f>IFERROR(AVERAGE(Rural[[#This Row],[‫یونیو‬‏]]:Rural[[#This Row],[‫ابریل‬‏]]),"")</f>
        <v>45.680000000000007</v>
      </c>
      <c r="V233" s="1">
        <f>IFERROR(AVERAGE(Rural[[#This Row],[‫مارس‬‏]]:Rural[[#This Row],[‫ینایر‬‏]]),"")</f>
        <v>45.376666666666665</v>
      </c>
    </row>
    <row r="234" spans="1:22" x14ac:dyDescent="0.35">
      <c r="A234" s="1">
        <v>9.4</v>
      </c>
      <c r="B234" s="1">
        <v>51.91</v>
      </c>
      <c r="C234" s="1">
        <v>56.8</v>
      </c>
      <c r="D234" s="1">
        <v>55.59</v>
      </c>
      <c r="E234" s="1">
        <v>97.09</v>
      </c>
      <c r="F234" s="1">
        <v>55.22</v>
      </c>
      <c r="G234" s="1">
        <v>55.53</v>
      </c>
      <c r="H234" s="1">
        <v>55.25</v>
      </c>
      <c r="I234" s="1">
        <v>52.25</v>
      </c>
      <c r="J234" s="1">
        <v>51.84</v>
      </c>
      <c r="K234" s="1">
        <v>51.75</v>
      </c>
      <c r="L234" s="1">
        <v>51.65</v>
      </c>
      <c r="M234" s="1">
        <v>51.74</v>
      </c>
      <c r="N234" s="1">
        <v>51.74</v>
      </c>
      <c r="O234" s="1">
        <v>51.9</v>
      </c>
      <c r="P234" t="s">
        <v>498</v>
      </c>
      <c r="Q234" t="s">
        <v>768</v>
      </c>
      <c r="R234" s="1" t="s">
        <v>526</v>
      </c>
      <c r="S234" s="1">
        <f>IFERROR(AVERAGE(Rural[[#This Row],[‫دیسمبر‬‏]]:Rural[[#This Row],[‫اكتوبر‬‏]]),"")</f>
        <v>69.3</v>
      </c>
      <c r="T234" s="1">
        <f>IFERROR(AVERAGE(Rural[[#This Row],[‫سبتمبر‬‏]]:Rural[[#This Row],[‫یولیو‬‏]]),"")</f>
        <v>54.343333333333334</v>
      </c>
      <c r="U234" s="1">
        <f>IFERROR(AVERAGE(Rural[[#This Row],[‫یونیو‬‏]]:Rural[[#This Row],[‫ابریل‬‏]]),"")</f>
        <v>51.74666666666667</v>
      </c>
      <c r="V234" s="1">
        <f>IFERROR(AVERAGE(Rural[[#This Row],[‫مارس‬‏]]:Rural[[#This Row],[‫ینایر‬‏]]),"")</f>
        <v>51.793333333333329</v>
      </c>
    </row>
    <row r="235" spans="1:22" x14ac:dyDescent="0.35">
      <c r="A235" s="1">
        <v>17.399999999999999</v>
      </c>
      <c r="B235" s="1">
        <v>85.34</v>
      </c>
      <c r="C235" s="1">
        <v>100.18</v>
      </c>
      <c r="D235" s="1">
        <v>105.94</v>
      </c>
      <c r="E235" s="1">
        <v>105.84</v>
      </c>
      <c r="F235" s="1">
        <v>105.92</v>
      </c>
      <c r="G235" s="1">
        <v>104.83</v>
      </c>
      <c r="H235" s="1">
        <v>103.15</v>
      </c>
      <c r="I235" s="1">
        <v>102.11</v>
      </c>
      <c r="J235" s="1">
        <v>96.14</v>
      </c>
      <c r="K235" s="1">
        <v>96.14</v>
      </c>
      <c r="L235" s="1">
        <v>96.65</v>
      </c>
      <c r="M235" s="1">
        <v>96.64</v>
      </c>
      <c r="N235" s="1">
        <v>96.64</v>
      </c>
      <c r="O235" s="1">
        <v>92.14</v>
      </c>
      <c r="P235" t="s">
        <v>498</v>
      </c>
      <c r="Q235" t="s">
        <v>769</v>
      </c>
      <c r="R235" s="1" t="s">
        <v>526</v>
      </c>
      <c r="S235" s="1">
        <f>IFERROR(AVERAGE(Rural[[#This Row],[‫دیسمبر‬‏]]:Rural[[#This Row],[‫اكتوبر‬‏]]),"")</f>
        <v>105.89999999999999</v>
      </c>
      <c r="T235" s="1">
        <f>IFERROR(AVERAGE(Rural[[#This Row],[‫سبتمبر‬‏]]:Rural[[#This Row],[‫یولیو‬‏]]),"")</f>
        <v>103.36333333333334</v>
      </c>
      <c r="U235" s="1">
        <f>IFERROR(AVERAGE(Rural[[#This Row],[‫یونیو‬‏]]:Rural[[#This Row],[‫ابریل‬‏]]),"")</f>
        <v>96.31</v>
      </c>
      <c r="V235" s="1">
        <f>IFERROR(AVERAGE(Rural[[#This Row],[‫مارس‬‏]]:Rural[[#This Row],[‫ینایر‬‏]]),"")</f>
        <v>95.14</v>
      </c>
    </row>
    <row r="236" spans="1:22" x14ac:dyDescent="0.35">
      <c r="A236" s="1">
        <v>15</v>
      </c>
      <c r="B236" s="1">
        <v>69.84</v>
      </c>
      <c r="C236" s="1">
        <v>80.349999999999994</v>
      </c>
      <c r="D236" s="1">
        <v>84.63</v>
      </c>
      <c r="E236" s="1">
        <v>84.52</v>
      </c>
      <c r="F236" s="1">
        <v>84.68</v>
      </c>
      <c r="G236" s="1">
        <v>83.75</v>
      </c>
      <c r="H236" s="1">
        <v>83.11</v>
      </c>
      <c r="I236" s="1">
        <v>82.18</v>
      </c>
      <c r="J236" s="1">
        <v>77.08</v>
      </c>
      <c r="K236" s="1">
        <v>77.08</v>
      </c>
      <c r="L236" s="1">
        <v>78.05</v>
      </c>
      <c r="M236" s="1">
        <v>77.459999999999994</v>
      </c>
      <c r="N236" s="1">
        <v>77.459999999999994</v>
      </c>
      <c r="O236" s="1">
        <v>74.239999999999995</v>
      </c>
      <c r="P236" t="s">
        <v>498</v>
      </c>
      <c r="Q236" t="s">
        <v>770</v>
      </c>
      <c r="R236" s="1" t="s">
        <v>526</v>
      </c>
      <c r="S236" s="1">
        <f>IFERROR(AVERAGE(Rural[[#This Row],[‫دیسمبر‬‏]]:Rural[[#This Row],[‫اكتوبر‬‏]]),"")</f>
        <v>84.61</v>
      </c>
      <c r="T236" s="1">
        <f>IFERROR(AVERAGE(Rural[[#This Row],[‫سبتمبر‬‏]]:Rural[[#This Row],[‫یولیو‬‏]]),"")</f>
        <v>83.013333333333335</v>
      </c>
      <c r="U236" s="1">
        <f>IFERROR(AVERAGE(Rural[[#This Row],[‫یونیو‬‏]]:Rural[[#This Row],[‫ابریل‬‏]]),"")</f>
        <v>77.403333333333322</v>
      </c>
      <c r="V236" s="1">
        <f>IFERROR(AVERAGE(Rural[[#This Row],[‫مارس‬‏]]:Rural[[#This Row],[‫ینایر‬‏]]),"")</f>
        <v>76.386666666666656</v>
      </c>
    </row>
    <row r="237" spans="1:22" x14ac:dyDescent="0.35">
      <c r="A237" s="1">
        <v>14.5</v>
      </c>
      <c r="B237" s="1">
        <v>28.31</v>
      </c>
      <c r="C237" s="1">
        <v>32.42</v>
      </c>
      <c r="D237" s="1">
        <v>34.19</v>
      </c>
      <c r="E237" s="1">
        <v>34.159999999999997</v>
      </c>
      <c r="F237" s="1">
        <v>34.11</v>
      </c>
      <c r="G237" s="1">
        <v>33.590000000000003</v>
      </c>
      <c r="H237" s="1">
        <v>33.49</v>
      </c>
      <c r="I237" s="1">
        <v>32.93</v>
      </c>
      <c r="J237" s="1">
        <v>31.36</v>
      </c>
      <c r="K237" s="1">
        <v>31.36</v>
      </c>
      <c r="L237" s="1">
        <v>30.67</v>
      </c>
      <c r="M237" s="1">
        <v>31.41</v>
      </c>
      <c r="N237" s="1">
        <v>31.41</v>
      </c>
      <c r="O237" s="1">
        <v>30.37</v>
      </c>
      <c r="P237" t="s">
        <v>498</v>
      </c>
      <c r="Q237" t="s">
        <v>771</v>
      </c>
      <c r="R237" s="1" t="s">
        <v>526</v>
      </c>
      <c r="S237" s="1">
        <f>IFERROR(AVERAGE(Rural[[#This Row],[‫دیسمبر‬‏]]:Rural[[#This Row],[‫اكتوبر‬‏]]),"")</f>
        <v>34.153333333333329</v>
      </c>
      <c r="T237" s="1">
        <f>IFERROR(AVERAGE(Rural[[#This Row],[‫سبتمبر‬‏]]:Rural[[#This Row],[‫یولیو‬‏]]),"")</f>
        <v>33.336666666666673</v>
      </c>
      <c r="U237" s="1">
        <f>IFERROR(AVERAGE(Rural[[#This Row],[‫یونیو‬‏]]:Rural[[#This Row],[‫ابریل‬‏]]),"")</f>
        <v>31.13</v>
      </c>
      <c r="V237" s="1">
        <f>IFERROR(AVERAGE(Rural[[#This Row],[‫مارس‬‏]]:Rural[[#This Row],[‫ینایر‬‏]]),"")</f>
        <v>31.063333333333333</v>
      </c>
    </row>
    <row r="238" spans="1:22" x14ac:dyDescent="0.35">
      <c r="A238" s="1">
        <v>17</v>
      </c>
      <c r="B238" s="1">
        <v>23.03</v>
      </c>
      <c r="C238" s="1">
        <v>26.94</v>
      </c>
      <c r="D238" s="1">
        <v>28.69</v>
      </c>
      <c r="E238" s="1">
        <v>28.66</v>
      </c>
      <c r="F238" s="1">
        <v>28.66</v>
      </c>
      <c r="G238" s="1">
        <v>28.3</v>
      </c>
      <c r="H238" s="1">
        <v>28.19</v>
      </c>
      <c r="I238" s="1">
        <v>27.54</v>
      </c>
      <c r="J238" s="1">
        <v>25.9</v>
      </c>
      <c r="K238" s="1">
        <v>25.9</v>
      </c>
      <c r="L238" s="1">
        <v>24.71</v>
      </c>
      <c r="M238" s="1">
        <v>25.94</v>
      </c>
      <c r="N238" s="1">
        <v>25.94</v>
      </c>
      <c r="O238" s="1">
        <v>24.89</v>
      </c>
      <c r="P238" t="s">
        <v>498</v>
      </c>
      <c r="Q238" t="s">
        <v>772</v>
      </c>
      <c r="R238" s="1" t="s">
        <v>526</v>
      </c>
      <c r="S238" s="1">
        <f>IFERROR(AVERAGE(Rural[[#This Row],[‫دیسمبر‬‏]]:Rural[[#This Row],[‫اكتوبر‬‏]]),"")</f>
        <v>28.67</v>
      </c>
      <c r="T238" s="1">
        <f>IFERROR(AVERAGE(Rural[[#This Row],[‫سبتمبر‬‏]]:Rural[[#This Row],[‫یولیو‬‏]]),"")</f>
        <v>28.01</v>
      </c>
      <c r="U238" s="1">
        <f>IFERROR(AVERAGE(Rural[[#This Row],[‫یونیو‬‏]]:Rural[[#This Row],[‫ابریل‬‏]]),"")</f>
        <v>25.50333333333333</v>
      </c>
      <c r="V238" s="1">
        <f>IFERROR(AVERAGE(Rural[[#This Row],[‫مارس‬‏]]:Rural[[#This Row],[‫ینایر‬‏]]),"")</f>
        <v>25.590000000000003</v>
      </c>
    </row>
    <row r="239" spans="1:22" x14ac:dyDescent="0.35">
      <c r="A239" s="1">
        <v>16.100000000000001</v>
      </c>
      <c r="B239" s="1">
        <v>20.38</v>
      </c>
      <c r="C239" s="1">
        <v>23.65</v>
      </c>
      <c r="D239" s="1">
        <v>24.92</v>
      </c>
      <c r="E239" s="1">
        <v>24.89</v>
      </c>
      <c r="F239" s="1">
        <v>24.89</v>
      </c>
      <c r="G239" s="1">
        <v>23.92</v>
      </c>
      <c r="H239" s="1">
        <v>23.92</v>
      </c>
      <c r="I239" s="1">
        <v>23.52</v>
      </c>
      <c r="J239" s="1">
        <v>23.43</v>
      </c>
      <c r="K239" s="1">
        <v>23.43</v>
      </c>
      <c r="L239" s="1">
        <v>22.96</v>
      </c>
      <c r="M239" s="1">
        <v>22.79</v>
      </c>
      <c r="N239" s="1">
        <v>22.79</v>
      </c>
      <c r="O239" s="1">
        <v>22.39</v>
      </c>
      <c r="P239" t="s">
        <v>373</v>
      </c>
      <c r="Q239" t="s">
        <v>773</v>
      </c>
      <c r="R239" s="1" t="s">
        <v>526</v>
      </c>
      <c r="S239" s="1">
        <f>IFERROR(AVERAGE(Rural[[#This Row],[‫دیسمبر‬‏]]:Rural[[#This Row],[‫اكتوبر‬‏]]),"")</f>
        <v>24.900000000000002</v>
      </c>
      <c r="T239" s="1">
        <f>IFERROR(AVERAGE(Rural[[#This Row],[‫سبتمبر‬‏]]:Rural[[#This Row],[‫یولیو‬‏]]),"")</f>
        <v>23.786666666666665</v>
      </c>
      <c r="U239" s="1">
        <f>IFERROR(AVERAGE(Rural[[#This Row],[‫یونیو‬‏]]:Rural[[#This Row],[‫ابریل‬‏]]),"")</f>
        <v>23.27333333333333</v>
      </c>
      <c r="V239" s="1">
        <f>IFERROR(AVERAGE(Rural[[#This Row],[‫مارس‬‏]]:Rural[[#This Row],[‫ینایر‬‏]]),"")</f>
        <v>22.656666666666666</v>
      </c>
    </row>
    <row r="240" spans="1:22" x14ac:dyDescent="0.35">
      <c r="A240" s="1">
        <v>10.3</v>
      </c>
      <c r="B240" s="1">
        <v>1.95</v>
      </c>
      <c r="C240" s="1">
        <v>2.15</v>
      </c>
      <c r="D240" s="1">
        <v>2.19</v>
      </c>
      <c r="E240" s="1">
        <v>2.1800000000000002</v>
      </c>
      <c r="F240" s="1">
        <v>2.17</v>
      </c>
      <c r="G240" s="1">
        <v>2.17</v>
      </c>
      <c r="H240" s="1">
        <v>2.17</v>
      </c>
      <c r="I240" s="1">
        <v>2.17</v>
      </c>
      <c r="J240" s="1">
        <v>2.14</v>
      </c>
      <c r="K240" s="1">
        <v>2.13</v>
      </c>
      <c r="L240" s="1">
        <v>2.09</v>
      </c>
      <c r="M240" s="1">
        <v>2.13</v>
      </c>
      <c r="N240" s="1">
        <v>2.14</v>
      </c>
      <c r="O240" s="1">
        <v>2.14</v>
      </c>
      <c r="P240" t="s">
        <v>427</v>
      </c>
      <c r="Q240" t="s">
        <v>774</v>
      </c>
      <c r="R240" s="1" t="s">
        <v>526</v>
      </c>
      <c r="S240" s="1">
        <f>IFERROR(AVERAGE(Rural[[#This Row],[‫دیسمبر‬‏]]:Rural[[#This Row],[‫اكتوبر‬‏]]),"")</f>
        <v>2.1800000000000002</v>
      </c>
      <c r="T240" s="1">
        <f>IFERROR(AVERAGE(Rural[[#This Row],[‫سبتمبر‬‏]]:Rural[[#This Row],[‫یولیو‬‏]]),"")</f>
        <v>2.17</v>
      </c>
      <c r="U240" s="1">
        <f>IFERROR(AVERAGE(Rural[[#This Row],[‫یونیو‬‏]]:Rural[[#This Row],[‫ابریل‬‏]]),"")</f>
        <v>2.1199999999999997</v>
      </c>
      <c r="V240" s="1">
        <f>IFERROR(AVERAGE(Rural[[#This Row],[‫مارس‬‏]]:Rural[[#This Row],[‫ینایر‬‏]]),"")</f>
        <v>2.1366666666666667</v>
      </c>
    </row>
    <row r="241" spans="1:22" x14ac:dyDescent="0.35">
      <c r="A241" s="1">
        <v>14.7</v>
      </c>
      <c r="B241" s="1">
        <v>1.5</v>
      </c>
      <c r="C241" s="1">
        <v>1.72</v>
      </c>
      <c r="D241" s="1">
        <v>1.78</v>
      </c>
      <c r="E241" s="1">
        <v>1.76</v>
      </c>
      <c r="F241" s="1">
        <v>1.76</v>
      </c>
      <c r="G241" s="1">
        <v>1.76</v>
      </c>
      <c r="H241" s="1">
        <v>1.76</v>
      </c>
      <c r="I241" s="1">
        <v>1.76</v>
      </c>
      <c r="J241" s="1">
        <v>1.72</v>
      </c>
      <c r="K241" s="1">
        <v>1.7</v>
      </c>
      <c r="L241" s="1">
        <v>1.67</v>
      </c>
      <c r="M241" s="1">
        <v>1.69</v>
      </c>
      <c r="N241" s="1">
        <v>1.68</v>
      </c>
      <c r="O241" s="1">
        <v>1.67</v>
      </c>
      <c r="P241" t="s">
        <v>427</v>
      </c>
      <c r="Q241" t="s">
        <v>775</v>
      </c>
      <c r="R241" s="1" t="s">
        <v>526</v>
      </c>
      <c r="S241" s="1">
        <f>IFERROR(AVERAGE(Rural[[#This Row],[‫دیسمبر‬‏]]:Rural[[#This Row],[‫اكتوبر‬‏]]),"")</f>
        <v>1.7666666666666666</v>
      </c>
      <c r="T241" s="1">
        <f>IFERROR(AVERAGE(Rural[[#This Row],[‫سبتمبر‬‏]]:Rural[[#This Row],[‫یولیو‬‏]]),"")</f>
        <v>1.76</v>
      </c>
      <c r="U241" s="1">
        <f>IFERROR(AVERAGE(Rural[[#This Row],[‫یونیو‬‏]]:Rural[[#This Row],[‫ابریل‬‏]]),"")</f>
        <v>1.6966666666666665</v>
      </c>
      <c r="V241" s="1">
        <f>IFERROR(AVERAGE(Rural[[#This Row],[‫مارس‬‏]]:Rural[[#This Row],[‫ینایر‬‏]]),"")</f>
        <v>1.68</v>
      </c>
    </row>
    <row r="242" spans="1:22" x14ac:dyDescent="0.35">
      <c r="A242" s="1">
        <v>3.8</v>
      </c>
      <c r="B242" s="1">
        <v>37.020000000000003</v>
      </c>
      <c r="C242" s="1">
        <v>38.409999999999997</v>
      </c>
      <c r="D242" s="1">
        <v>40.03</v>
      </c>
      <c r="E242" s="1">
        <v>39.11</v>
      </c>
      <c r="F242" s="1">
        <v>39.11</v>
      </c>
      <c r="G242" s="1">
        <v>39.1</v>
      </c>
      <c r="H242" s="1">
        <v>38.74</v>
      </c>
      <c r="I242" s="1">
        <v>38.479999999999997</v>
      </c>
      <c r="J242" s="1">
        <v>38.32</v>
      </c>
      <c r="K242" s="1">
        <v>38.159999999999997</v>
      </c>
      <c r="L242" s="1">
        <v>37.619999999999997</v>
      </c>
      <c r="M242" s="1">
        <v>37.58</v>
      </c>
      <c r="N242" s="1">
        <v>37.340000000000003</v>
      </c>
      <c r="O242" s="1">
        <v>37.340000000000003</v>
      </c>
      <c r="P242" t="s">
        <v>506</v>
      </c>
      <c r="Q242" t="s">
        <v>776</v>
      </c>
      <c r="R242" s="1" t="s">
        <v>526</v>
      </c>
      <c r="S242" s="1">
        <f>IFERROR(AVERAGE(Rural[[#This Row],[‫دیسمبر‬‏]]:Rural[[#This Row],[‫اكتوبر‬‏]]),"")</f>
        <v>39.416666666666664</v>
      </c>
      <c r="T242" s="1">
        <f>IFERROR(AVERAGE(Rural[[#This Row],[‫سبتمبر‬‏]]:Rural[[#This Row],[‫یولیو‬‏]]),"")</f>
        <v>38.773333333333333</v>
      </c>
      <c r="U242" s="1">
        <f>IFERROR(AVERAGE(Rural[[#This Row],[‫یونیو‬‏]]:Rural[[#This Row],[‫ابریل‬‏]]),"")</f>
        <v>38.033333333333331</v>
      </c>
      <c r="V242" s="1">
        <f>IFERROR(AVERAGE(Rural[[#This Row],[‫مارس‬‏]]:Rural[[#This Row],[‫ینایر‬‏]]),"")</f>
        <v>37.42</v>
      </c>
    </row>
    <row r="243" spans="1:22" x14ac:dyDescent="0.35">
      <c r="A243" s="1">
        <v>12.3</v>
      </c>
      <c r="B243" s="1">
        <v>61.05</v>
      </c>
      <c r="C243" s="1">
        <v>68.56</v>
      </c>
      <c r="D243" s="1">
        <v>70.78</v>
      </c>
      <c r="E243" s="1">
        <v>70.010000000000005</v>
      </c>
      <c r="F243" s="1">
        <v>69.790000000000006</v>
      </c>
      <c r="G243" s="1">
        <v>69.13</v>
      </c>
      <c r="H243" s="1">
        <v>69.12</v>
      </c>
      <c r="I243" s="1">
        <v>68.91</v>
      </c>
      <c r="J243" s="1">
        <v>69.12</v>
      </c>
      <c r="K243" s="1">
        <v>68.959999999999994</v>
      </c>
      <c r="L243" s="1">
        <v>68.52</v>
      </c>
      <c r="M243" s="1">
        <v>67.64</v>
      </c>
      <c r="N243" s="1">
        <v>65.45</v>
      </c>
      <c r="O243" s="1">
        <v>65.34</v>
      </c>
      <c r="P243" t="s">
        <v>25</v>
      </c>
      <c r="Q243" t="s">
        <v>777</v>
      </c>
      <c r="R243" s="1" t="s">
        <v>526</v>
      </c>
      <c r="S243" s="1">
        <f>IFERROR(AVERAGE(Rural[[#This Row],[‫دیسمبر‬‏]]:Rural[[#This Row],[‫اكتوبر‬‏]]),"")</f>
        <v>70.193333333333342</v>
      </c>
      <c r="T243" s="1">
        <f>IFERROR(AVERAGE(Rural[[#This Row],[‫سبتمبر‬‏]]:Rural[[#This Row],[‫یولیو‬‏]]),"")</f>
        <v>69.053333333333327</v>
      </c>
      <c r="U243" s="1">
        <f>IFERROR(AVERAGE(Rural[[#This Row],[‫یونیو‬‏]]:Rural[[#This Row],[‫ابریل‬‏]]),"")</f>
        <v>68.86666666666666</v>
      </c>
      <c r="V243" s="1">
        <f>IFERROR(AVERAGE(Rural[[#This Row],[‫مارس‬‏]]:Rural[[#This Row],[‫ینایر‬‏]]),"")</f>
        <v>66.143333333333331</v>
      </c>
    </row>
    <row r="244" spans="1:22" x14ac:dyDescent="0.35">
      <c r="A244" s="1">
        <v>13.3</v>
      </c>
      <c r="B244" s="1">
        <v>60.7</v>
      </c>
      <c r="C244" s="1">
        <v>68.75</v>
      </c>
      <c r="D244" s="1">
        <v>71.27</v>
      </c>
      <c r="E244" s="1">
        <v>71.010000000000005</v>
      </c>
      <c r="F244" s="1">
        <v>70.38</v>
      </c>
      <c r="G244" s="1">
        <v>69.88</v>
      </c>
      <c r="H244" s="1">
        <v>69.86</v>
      </c>
      <c r="I244" s="1">
        <v>69.61</v>
      </c>
      <c r="J244" s="1">
        <v>69.94</v>
      </c>
      <c r="K244" s="1">
        <v>69.5</v>
      </c>
      <c r="L244" s="1">
        <v>67.709999999999994</v>
      </c>
      <c r="M244" s="1">
        <v>67.13</v>
      </c>
      <c r="N244" s="1">
        <v>64.38</v>
      </c>
      <c r="O244" s="1">
        <v>64.28</v>
      </c>
      <c r="P244" t="s">
        <v>25</v>
      </c>
      <c r="Q244" t="s">
        <v>778</v>
      </c>
      <c r="R244" s="1" t="s">
        <v>526</v>
      </c>
      <c r="S244" s="1">
        <f>IFERROR(AVERAGE(Rural[[#This Row],[‫دیسمبر‬‏]]:Rural[[#This Row],[‫اكتوبر‬‏]]),"")</f>
        <v>70.88666666666667</v>
      </c>
      <c r="T244" s="1">
        <f>IFERROR(AVERAGE(Rural[[#This Row],[‫سبتمبر‬‏]]:Rural[[#This Row],[‫یولیو‬‏]]),"")</f>
        <v>69.783333333333346</v>
      </c>
      <c r="U244" s="1">
        <f>IFERROR(AVERAGE(Rural[[#This Row],[‫یونیو‬‏]]:Rural[[#This Row],[‫ابریل‬‏]]),"")</f>
        <v>69.05</v>
      </c>
      <c r="V244" s="1">
        <f>IFERROR(AVERAGE(Rural[[#This Row],[‫مارس‬‏]]:Rural[[#This Row],[‫ینایر‬‏]]),"")</f>
        <v>65.263333333333335</v>
      </c>
    </row>
    <row r="245" spans="1:22" x14ac:dyDescent="0.35">
      <c r="A245" s="1">
        <v>10.4</v>
      </c>
      <c r="B245" s="1">
        <v>66.59</v>
      </c>
      <c r="C245" s="1">
        <v>73.540000000000006</v>
      </c>
      <c r="D245" s="1">
        <v>76.010000000000005</v>
      </c>
      <c r="E245" s="1">
        <v>75.03</v>
      </c>
      <c r="F245" s="1">
        <v>74.62</v>
      </c>
      <c r="G245" s="1">
        <v>74.38</v>
      </c>
      <c r="H245" s="1">
        <v>74.38</v>
      </c>
      <c r="I245" s="1">
        <v>74.290000000000006</v>
      </c>
      <c r="J245" s="1">
        <v>74.05</v>
      </c>
      <c r="K245" s="1">
        <v>73.66</v>
      </c>
      <c r="L245" s="1">
        <v>72.959999999999994</v>
      </c>
      <c r="M245" s="1">
        <v>71.540000000000006</v>
      </c>
      <c r="N245" s="1">
        <v>70.89</v>
      </c>
      <c r="O245" s="1">
        <v>70.62</v>
      </c>
      <c r="P245" t="s">
        <v>25</v>
      </c>
      <c r="Q245" t="s">
        <v>779</v>
      </c>
      <c r="R245" s="1" t="s">
        <v>526</v>
      </c>
      <c r="S245" s="1">
        <f>IFERROR(AVERAGE(Rural[[#This Row],[‫دیسمبر‬‏]]:Rural[[#This Row],[‫اكتوبر‬‏]]),"")</f>
        <v>75.220000000000013</v>
      </c>
      <c r="T245" s="1">
        <f>IFERROR(AVERAGE(Rural[[#This Row],[‫سبتمبر‬‏]]:Rural[[#This Row],[‫یولیو‬‏]]),"")</f>
        <v>74.350000000000009</v>
      </c>
      <c r="U245" s="1">
        <f>IFERROR(AVERAGE(Rural[[#This Row],[‫یونیو‬‏]]:Rural[[#This Row],[‫ابریل‬‏]]),"")</f>
        <v>73.556666666666658</v>
      </c>
      <c r="V245" s="1">
        <f>IFERROR(AVERAGE(Rural[[#This Row],[‫مارس‬‏]]:Rural[[#This Row],[‫ینایر‬‏]]),"")</f>
        <v>71.016666666666666</v>
      </c>
    </row>
    <row r="246" spans="1:22" x14ac:dyDescent="0.35">
      <c r="A246" s="1">
        <v>17.7</v>
      </c>
      <c r="B246" s="1">
        <v>134.15</v>
      </c>
      <c r="C246" s="1">
        <v>157.87</v>
      </c>
      <c r="D246" s="1">
        <v>161.77000000000001</v>
      </c>
      <c r="E246" s="1">
        <v>160.86000000000001</v>
      </c>
      <c r="F246" s="1">
        <v>160.28</v>
      </c>
      <c r="G246" s="1">
        <v>160.05000000000001</v>
      </c>
      <c r="H246" s="1">
        <v>160.02000000000001</v>
      </c>
      <c r="I246" s="1">
        <v>160.02000000000001</v>
      </c>
      <c r="J246" s="1">
        <v>159.75</v>
      </c>
      <c r="K246" s="1">
        <v>159.58000000000001</v>
      </c>
      <c r="L246" s="1">
        <v>163.29</v>
      </c>
      <c r="M246" s="1">
        <v>159.24</v>
      </c>
      <c r="N246" s="1">
        <v>145.09</v>
      </c>
      <c r="O246" s="1">
        <v>144.53</v>
      </c>
      <c r="P246" t="s">
        <v>25</v>
      </c>
      <c r="Q246" t="s">
        <v>780</v>
      </c>
      <c r="R246" s="1" t="s">
        <v>526</v>
      </c>
      <c r="S246" s="1">
        <f>IFERROR(AVERAGE(Rural[[#This Row],[‫دیسمبر‬‏]]:Rural[[#This Row],[‫اكتوبر‬‏]]),"")</f>
        <v>160.97</v>
      </c>
      <c r="T246" s="1">
        <f>IFERROR(AVERAGE(Rural[[#This Row],[‫سبتمبر‬‏]]:Rural[[#This Row],[‫یولیو‬‏]]),"")</f>
        <v>160.03</v>
      </c>
      <c r="U246" s="1">
        <f>IFERROR(AVERAGE(Rural[[#This Row],[‫یونیو‬‏]]:Rural[[#This Row],[‫ابریل‬‏]]),"")</f>
        <v>160.87333333333333</v>
      </c>
      <c r="V246" s="1">
        <f>IFERROR(AVERAGE(Rural[[#This Row],[‫مارس‬‏]]:Rural[[#This Row],[‫ینایر‬‏]]),"")</f>
        <v>149.62</v>
      </c>
    </row>
    <row r="247" spans="1:22" x14ac:dyDescent="0.35">
      <c r="A247" s="1">
        <v>19.3</v>
      </c>
      <c r="B247" s="1">
        <v>128.08000000000001</v>
      </c>
      <c r="C247" s="1">
        <v>152.74</v>
      </c>
      <c r="D247" s="1">
        <v>157.04</v>
      </c>
      <c r="E247" s="1">
        <v>156.24</v>
      </c>
      <c r="F247" s="1">
        <v>155.77000000000001</v>
      </c>
      <c r="G247" s="1">
        <v>155.69999999999999</v>
      </c>
      <c r="H247" s="1">
        <v>155.66999999999999</v>
      </c>
      <c r="I247" s="1">
        <v>155.63</v>
      </c>
      <c r="J247" s="1">
        <v>155.63999999999999</v>
      </c>
      <c r="K247" s="1">
        <v>155.57</v>
      </c>
      <c r="L247" s="1">
        <v>154.66999999999999</v>
      </c>
      <c r="M247" s="1">
        <v>153.76</v>
      </c>
      <c r="N247" s="1">
        <v>138.91999999999999</v>
      </c>
      <c r="O247" s="1">
        <v>138.28</v>
      </c>
      <c r="P247" t="s">
        <v>25</v>
      </c>
      <c r="Q247" t="s">
        <v>781</v>
      </c>
      <c r="R247" s="1" t="s">
        <v>526</v>
      </c>
      <c r="S247" s="1">
        <f>IFERROR(AVERAGE(Rural[[#This Row],[‫دیسمبر‬‏]]:Rural[[#This Row],[‫اكتوبر‬‏]]),"")</f>
        <v>156.35</v>
      </c>
      <c r="T247" s="1">
        <f>IFERROR(AVERAGE(Rural[[#This Row],[‫سبتمبر‬‏]]:Rural[[#This Row],[‫یولیو‬‏]]),"")</f>
        <v>155.66666666666666</v>
      </c>
      <c r="U247" s="1">
        <f>IFERROR(AVERAGE(Rural[[#This Row],[‫یونیو‬‏]]:Rural[[#This Row],[‫ابریل‬‏]]),"")</f>
        <v>155.29333333333332</v>
      </c>
      <c r="V247" s="1">
        <f>IFERROR(AVERAGE(Rural[[#This Row],[‫مارس‬‏]]:Rural[[#This Row],[‫ینایر‬‏]]),"")</f>
        <v>143.65333333333331</v>
      </c>
    </row>
    <row r="248" spans="1:22" x14ac:dyDescent="0.35">
      <c r="A248" s="1">
        <v>46.7</v>
      </c>
      <c r="B248" s="1">
        <v>7.94</v>
      </c>
      <c r="C248" s="1">
        <v>11.66</v>
      </c>
      <c r="D248" s="1">
        <v>12.54</v>
      </c>
      <c r="E248" s="1">
        <v>12.44</v>
      </c>
      <c r="F248" s="1">
        <v>12.39</v>
      </c>
      <c r="G248" s="1">
        <v>12.34</v>
      </c>
      <c r="H248" s="1">
        <v>12.33</v>
      </c>
      <c r="I248" s="1">
        <v>12.3</v>
      </c>
      <c r="J248" s="1">
        <v>12.29</v>
      </c>
      <c r="K248" s="1">
        <v>12.29</v>
      </c>
      <c r="L248" s="1">
        <v>12.36</v>
      </c>
      <c r="M248" s="1">
        <v>12.18</v>
      </c>
      <c r="N248" s="1">
        <v>8.24</v>
      </c>
      <c r="O248" s="1">
        <v>8.19</v>
      </c>
      <c r="P248" t="s">
        <v>513</v>
      </c>
      <c r="Q248" t="s">
        <v>782</v>
      </c>
      <c r="R248" s="1" t="s">
        <v>526</v>
      </c>
      <c r="S248" s="1">
        <f>IFERROR(AVERAGE(Rural[[#This Row],[‫دیسمبر‬‏]]:Rural[[#This Row],[‫اكتوبر‬‏]]),"")</f>
        <v>12.456666666666665</v>
      </c>
      <c r="T248" s="1">
        <f>IFERROR(AVERAGE(Rural[[#This Row],[‫سبتمبر‬‏]]:Rural[[#This Row],[‫یولیو‬‏]]),"")</f>
        <v>12.323333333333332</v>
      </c>
      <c r="U248" s="1">
        <f>IFERROR(AVERAGE(Rural[[#This Row],[‫یونیو‬‏]]:Rural[[#This Row],[‫ابریل‬‏]]),"")</f>
        <v>12.313333333333333</v>
      </c>
      <c r="V248" s="1">
        <f>IFERROR(AVERAGE(Rural[[#This Row],[‫مارس‬‏]]:Rural[[#This Row],[‫ینایر‬‏]]),"")</f>
        <v>9.5366666666666671</v>
      </c>
    </row>
    <row r="249" spans="1:22" x14ac:dyDescent="0.35">
      <c r="A249" s="1">
        <v>4.3</v>
      </c>
      <c r="B249" s="1">
        <v>15.41</v>
      </c>
      <c r="C249" s="1">
        <v>16.07</v>
      </c>
      <c r="D249" s="1">
        <v>16.79</v>
      </c>
      <c r="E249" s="1">
        <v>16.53</v>
      </c>
      <c r="F249" s="1">
        <v>16.48</v>
      </c>
      <c r="G249" s="1">
        <v>16.36</v>
      </c>
      <c r="H249" s="1">
        <v>16.27</v>
      </c>
      <c r="I249" s="1">
        <v>16.2</v>
      </c>
      <c r="J249" s="1">
        <v>16.09</v>
      </c>
      <c r="K249" s="1">
        <v>15.81</v>
      </c>
      <c r="L249" s="1">
        <v>15.19</v>
      </c>
      <c r="M249" s="1">
        <v>15.82</v>
      </c>
      <c r="N249" s="1">
        <v>15.41</v>
      </c>
      <c r="O249" s="1">
        <v>15.93</v>
      </c>
      <c r="P249" t="s">
        <v>363</v>
      </c>
      <c r="Q249" t="s">
        <v>783</v>
      </c>
      <c r="R249" s="1" t="s">
        <v>526</v>
      </c>
      <c r="S249" s="1">
        <f>IFERROR(AVERAGE(Rural[[#This Row],[‫دیسمبر‬‏]]:Rural[[#This Row],[‫اكتوبر‬‏]]),"")</f>
        <v>16.599999999999998</v>
      </c>
      <c r="T249" s="1">
        <f>IFERROR(AVERAGE(Rural[[#This Row],[‫سبتمبر‬‏]]:Rural[[#This Row],[‫یولیو‬‏]]),"")</f>
        <v>16.276666666666667</v>
      </c>
      <c r="U249" s="1">
        <f>IFERROR(AVERAGE(Rural[[#This Row],[‫یونیو‬‏]]:Rural[[#This Row],[‫ابریل‬‏]]),"")</f>
        <v>15.696666666666665</v>
      </c>
      <c r="V249" s="1">
        <f>IFERROR(AVERAGE(Rural[[#This Row],[‫مارس‬‏]]:Rural[[#This Row],[‫ینایر‬‏]]),"")</f>
        <v>15.719999999999999</v>
      </c>
    </row>
    <row r="250" spans="1:22" x14ac:dyDescent="0.35">
      <c r="A250" s="1">
        <v>4.8</v>
      </c>
      <c r="B250" s="1">
        <v>60.13</v>
      </c>
      <c r="C250" s="1">
        <v>62.98</v>
      </c>
      <c r="D250" s="1">
        <v>63.68</v>
      </c>
      <c r="E250" s="1">
        <v>63.67</v>
      </c>
      <c r="F250" s="1">
        <v>63.67</v>
      </c>
      <c r="G250" s="1">
        <v>63</v>
      </c>
      <c r="H250" s="1">
        <v>62</v>
      </c>
      <c r="I250" s="1">
        <v>62</v>
      </c>
      <c r="J250" s="1">
        <v>61.99</v>
      </c>
      <c r="K250" s="1">
        <v>61.98</v>
      </c>
      <c r="L250" s="1">
        <v>68.14</v>
      </c>
      <c r="M250" s="1">
        <v>61.89</v>
      </c>
      <c r="N250" s="1">
        <v>61.89</v>
      </c>
      <c r="O250" s="1">
        <v>61.89</v>
      </c>
      <c r="P250" t="s">
        <v>513</v>
      </c>
      <c r="Q250" t="s">
        <v>784</v>
      </c>
      <c r="R250" s="1" t="s">
        <v>526</v>
      </c>
      <c r="S250" s="1">
        <f>IFERROR(AVERAGE(Rural[[#This Row],[‫دیسمبر‬‏]]:Rural[[#This Row],[‫اكتوبر‬‏]]),"")</f>
        <v>63.673333333333325</v>
      </c>
      <c r="T250" s="1">
        <f>IFERROR(AVERAGE(Rural[[#This Row],[‫سبتمبر‬‏]]:Rural[[#This Row],[‫یولیو‬‏]]),"")</f>
        <v>62.333333333333336</v>
      </c>
      <c r="U250" s="1">
        <f>IFERROR(AVERAGE(Rural[[#This Row],[‫یونیو‬‏]]:Rural[[#This Row],[‫ابریل‬‏]]),"")</f>
        <v>64.036666666666676</v>
      </c>
      <c r="V250" s="1">
        <f>IFERROR(AVERAGE(Rural[[#This Row],[‫مارس‬‏]]:Rural[[#This Row],[‫ینایر‬‏]]),"")</f>
        <v>61.890000000000008</v>
      </c>
    </row>
    <row r="251" spans="1:22" x14ac:dyDescent="0.35">
      <c r="A251" s="1">
        <v>-4.0999999999999996</v>
      </c>
      <c r="B251" s="1">
        <v>43.79</v>
      </c>
      <c r="C251" s="1">
        <v>41.98</v>
      </c>
      <c r="D251" s="1">
        <v>42.15</v>
      </c>
      <c r="E251" s="1">
        <v>41.97</v>
      </c>
      <c r="F251" s="1">
        <v>41.97</v>
      </c>
      <c r="G251" s="1">
        <v>41.97</v>
      </c>
      <c r="H251" s="1">
        <v>41.97</v>
      </c>
      <c r="I251" s="1">
        <v>42.02</v>
      </c>
      <c r="J251" s="1">
        <v>42.02</v>
      </c>
      <c r="K251" s="1">
        <v>42</v>
      </c>
      <c r="L251" s="1">
        <v>42.04</v>
      </c>
      <c r="M251" s="1">
        <v>40.549999999999997</v>
      </c>
      <c r="N251" s="1">
        <v>39.56</v>
      </c>
      <c r="O251" s="1">
        <v>45.58</v>
      </c>
      <c r="P251" t="s">
        <v>517</v>
      </c>
      <c r="Q251" t="s">
        <v>785</v>
      </c>
      <c r="R251" s="1" t="s">
        <v>526</v>
      </c>
      <c r="S251" s="1">
        <f>IFERROR(AVERAGE(Rural[[#This Row],[‫دیسمبر‬‏]]:Rural[[#This Row],[‫اكتوبر‬‏]]),"")</f>
        <v>42.03</v>
      </c>
      <c r="T251" s="1">
        <f>IFERROR(AVERAGE(Rural[[#This Row],[‫سبتمبر‬‏]]:Rural[[#This Row],[‫یولیو‬‏]]),"")</f>
        <v>41.986666666666672</v>
      </c>
      <c r="U251" s="1">
        <f>IFERROR(AVERAGE(Rural[[#This Row],[‫یونیو‬‏]]:Rural[[#This Row],[‫ابریل‬‏]]),"")</f>
        <v>42.02</v>
      </c>
      <c r="V251" s="1">
        <f>IFERROR(AVERAGE(Rural[[#This Row],[‫مارس‬‏]]:Rural[[#This Row],[‫ینایر‬‏]]),"")</f>
        <v>41.896666666666668</v>
      </c>
    </row>
    <row r="252" spans="1:22" x14ac:dyDescent="0.35">
      <c r="A252" s="1">
        <v>1.3</v>
      </c>
      <c r="B252" s="1">
        <v>37.619999999999997</v>
      </c>
      <c r="C252" s="1">
        <v>38.090000000000003</v>
      </c>
      <c r="D252" s="1">
        <v>38.340000000000003</v>
      </c>
      <c r="E252" s="1">
        <v>37.880000000000003</v>
      </c>
      <c r="F252" s="1">
        <v>37.9</v>
      </c>
      <c r="G252" s="1">
        <v>37.83</v>
      </c>
      <c r="H252" s="1">
        <v>37.83</v>
      </c>
      <c r="I252" s="1">
        <v>37.83</v>
      </c>
      <c r="J252" s="1">
        <v>37.659999999999997</v>
      </c>
      <c r="K252" s="1">
        <v>37.659999999999997</v>
      </c>
      <c r="L252" s="1">
        <v>38</v>
      </c>
      <c r="M252" s="1">
        <v>37.229999999999997</v>
      </c>
      <c r="N252" s="1">
        <v>37.44</v>
      </c>
      <c r="O252" s="1">
        <v>41.51</v>
      </c>
      <c r="P252" t="s">
        <v>519</v>
      </c>
      <c r="Q252" t="s">
        <v>786</v>
      </c>
      <c r="R252" s="1" t="s">
        <v>526</v>
      </c>
      <c r="S252" s="1">
        <f>IFERROR(AVERAGE(Rural[[#This Row],[‫دیسمبر‬‏]]:Rural[[#This Row],[‫اكتوبر‬‏]]),"")</f>
        <v>38.04</v>
      </c>
      <c r="T252" s="1">
        <f>IFERROR(AVERAGE(Rural[[#This Row],[‫سبتمبر‬‏]]:Rural[[#This Row],[‫یولیو‬‏]]),"")</f>
        <v>37.83</v>
      </c>
      <c r="U252" s="1">
        <f>IFERROR(AVERAGE(Rural[[#This Row],[‫یونیو‬‏]]:Rural[[#This Row],[‫ابریل‬‏]]),"")</f>
        <v>37.773333333333333</v>
      </c>
      <c r="V252" s="1">
        <f>IFERROR(AVERAGE(Rural[[#This Row],[‫مارس‬‏]]:Rural[[#This Row],[‫ینایر‬‏]]),"")</f>
        <v>38.726666666666659</v>
      </c>
    </row>
    <row r="253" spans="1:22" x14ac:dyDescent="0.35">
      <c r="A253" s="1">
        <v>13.6</v>
      </c>
      <c r="B253" s="1">
        <v>14.26</v>
      </c>
      <c r="C253" s="1">
        <v>16.2</v>
      </c>
      <c r="D253" s="1">
        <v>17.21</v>
      </c>
      <c r="E253" s="1">
        <v>16.739999999999998</v>
      </c>
      <c r="F253" s="1">
        <v>16.71</v>
      </c>
      <c r="G253" s="1">
        <v>16.59</v>
      </c>
      <c r="H253" s="1">
        <v>16.41</v>
      </c>
      <c r="I253" s="1">
        <v>16.41</v>
      </c>
      <c r="J253" s="1">
        <v>16.32</v>
      </c>
      <c r="K253" s="1">
        <v>16.14</v>
      </c>
      <c r="L253" s="1">
        <v>14.73</v>
      </c>
      <c r="M253" s="1">
        <v>15.79</v>
      </c>
      <c r="N253" s="1">
        <v>15.76</v>
      </c>
      <c r="O253" s="1">
        <v>15.61</v>
      </c>
      <c r="P253" t="s">
        <v>513</v>
      </c>
      <c r="Q253" t="s">
        <v>787</v>
      </c>
      <c r="R253" s="1" t="s">
        <v>526</v>
      </c>
      <c r="S253" s="1">
        <f>IFERROR(AVERAGE(Rural[[#This Row],[‫دیسمبر‬‏]]:Rural[[#This Row],[‫اكتوبر‬‏]]),"")</f>
        <v>16.886666666666667</v>
      </c>
      <c r="T253" s="1">
        <f>IFERROR(AVERAGE(Rural[[#This Row],[‫سبتمبر‬‏]]:Rural[[#This Row],[‫یولیو‬‏]]),"")</f>
        <v>16.47</v>
      </c>
      <c r="U253" s="1">
        <f>IFERROR(AVERAGE(Rural[[#This Row],[‫یونیو‬‏]]:Rural[[#This Row],[‫ابریل‬‏]]),"")</f>
        <v>15.729999999999999</v>
      </c>
      <c r="V253" s="1">
        <f>IFERROR(AVERAGE(Rural[[#This Row],[‫مارس‬‏]]:Rural[[#This Row],[‫ینایر‬‏]]),"")</f>
        <v>15.719999999999999</v>
      </c>
    </row>
    <row r="254" spans="1:22" x14ac:dyDescent="0.35">
      <c r="A254" s="1">
        <v>9.1</v>
      </c>
      <c r="B254" s="1">
        <v>13.28</v>
      </c>
      <c r="C254" s="1">
        <v>14.5</v>
      </c>
      <c r="D254" s="1">
        <v>14.79</v>
      </c>
      <c r="E254" s="1">
        <v>14.76</v>
      </c>
      <c r="F254" s="1">
        <v>14.76</v>
      </c>
      <c r="G254" s="1">
        <v>14.76</v>
      </c>
      <c r="H254" s="1">
        <v>14.58</v>
      </c>
      <c r="I254" s="1">
        <v>14.54</v>
      </c>
      <c r="J254" s="1">
        <v>14.55</v>
      </c>
      <c r="K254" s="1">
        <v>14.55</v>
      </c>
      <c r="L254" s="1">
        <v>13.63</v>
      </c>
      <c r="M254" s="1">
        <v>14.53</v>
      </c>
      <c r="N254" s="1">
        <v>14.27</v>
      </c>
      <c r="O254" s="1">
        <v>14.26</v>
      </c>
      <c r="P254" t="s">
        <v>267</v>
      </c>
      <c r="Q254" t="s">
        <v>788</v>
      </c>
      <c r="R254" s="1" t="s">
        <v>526</v>
      </c>
      <c r="S254" s="1">
        <f>IFERROR(AVERAGE(Rural[[#This Row],[‫دیسمبر‬‏]]:Rural[[#This Row],[‫اكتوبر‬‏]]),"")</f>
        <v>14.769999999999998</v>
      </c>
      <c r="T254" s="1">
        <f>IFERROR(AVERAGE(Rural[[#This Row],[‫سبتمبر‬‏]]:Rural[[#This Row],[‫یولیو‬‏]]),"")</f>
        <v>14.626666666666665</v>
      </c>
      <c r="U254" s="1">
        <f>IFERROR(AVERAGE(Rural[[#This Row],[‫یونیو‬‏]]:Rural[[#This Row],[‫ابریل‬‏]]),"")</f>
        <v>14.243333333333334</v>
      </c>
      <c r="V254" s="1">
        <f>IFERROR(AVERAGE(Rural[[#This Row],[‫مارس‬‏]]:Rural[[#This Row],[‫ینایر‬‏]]),"")</f>
        <v>14.353333333333332</v>
      </c>
    </row>
    <row r="255" spans="1:22" x14ac:dyDescent="0.35">
      <c r="A255" s="1">
        <v>12.4</v>
      </c>
      <c r="B255" s="1">
        <v>1.58</v>
      </c>
      <c r="C255" s="1">
        <v>1.77</v>
      </c>
      <c r="D255" s="1">
        <v>1.8</v>
      </c>
      <c r="E255" s="1">
        <v>1.8</v>
      </c>
      <c r="F255" s="1">
        <v>1.8</v>
      </c>
      <c r="G255" s="1">
        <v>1.76</v>
      </c>
      <c r="H255" s="1">
        <v>1.76</v>
      </c>
      <c r="I255" s="1">
        <v>1.76</v>
      </c>
      <c r="J255" s="1">
        <v>1.76</v>
      </c>
      <c r="K255" s="1">
        <v>1.76</v>
      </c>
      <c r="L255" s="1">
        <v>1.92</v>
      </c>
      <c r="M255" s="1">
        <v>1.74</v>
      </c>
      <c r="N255" s="1">
        <v>1.74</v>
      </c>
      <c r="O255" s="1">
        <v>1.7</v>
      </c>
      <c r="P255" t="s">
        <v>427</v>
      </c>
      <c r="Q255" t="s">
        <v>789</v>
      </c>
      <c r="R255" s="1" t="s">
        <v>526</v>
      </c>
      <c r="S255" s="1">
        <f>IFERROR(AVERAGE(Rural[[#This Row],[‫دیسمبر‬‏]]:Rural[[#This Row],[‫اكتوبر‬‏]]),"")</f>
        <v>1.8</v>
      </c>
      <c r="T255" s="1">
        <f>IFERROR(AVERAGE(Rural[[#This Row],[‫سبتمبر‬‏]]:Rural[[#This Row],[‫یولیو‬‏]]),"")</f>
        <v>1.76</v>
      </c>
      <c r="U255" s="1">
        <f>IFERROR(AVERAGE(Rural[[#This Row],[‫یونیو‬‏]]:Rural[[#This Row],[‫ابریل‬‏]]),"")</f>
        <v>1.8133333333333332</v>
      </c>
      <c r="V255" s="1">
        <f>IFERROR(AVERAGE(Rural[[#This Row],[‫مارس‬‏]]:Rural[[#This Row],[‫ینایر‬‏]]),"")</f>
        <v>1.7266666666666666</v>
      </c>
    </row>
    <row r="256" spans="1:22" x14ac:dyDescent="0.35">
      <c r="A256" s="1">
        <v>10</v>
      </c>
      <c r="B256" s="1">
        <v>41.85</v>
      </c>
      <c r="C256" s="1">
        <v>46.05</v>
      </c>
      <c r="D256" s="1">
        <v>47.09</v>
      </c>
      <c r="E256" s="1">
        <v>46.67</v>
      </c>
      <c r="F256" s="1">
        <v>46.62</v>
      </c>
      <c r="G256" s="1">
        <v>46.3</v>
      </c>
      <c r="H256" s="1">
        <v>46.27</v>
      </c>
      <c r="I256" s="1">
        <v>46.51</v>
      </c>
      <c r="J256" s="1">
        <v>46.26</v>
      </c>
      <c r="K256" s="1">
        <v>45.84</v>
      </c>
      <c r="L256" s="1">
        <v>45.42</v>
      </c>
      <c r="M256" s="1">
        <v>45.49</v>
      </c>
      <c r="N256" s="1">
        <v>45.16</v>
      </c>
      <c r="O256" s="1">
        <v>44.91</v>
      </c>
      <c r="P256" t="s">
        <v>25</v>
      </c>
      <c r="Q256" t="s">
        <v>790</v>
      </c>
      <c r="R256" s="1" t="s">
        <v>526</v>
      </c>
      <c r="S256" s="1">
        <f>IFERROR(AVERAGE(Rural[[#This Row],[‫دیسمبر‬‏]]:Rural[[#This Row],[‫اكتوبر‬‏]]),"")</f>
        <v>46.793333333333329</v>
      </c>
      <c r="T256" s="1">
        <f>IFERROR(AVERAGE(Rural[[#This Row],[‫سبتمبر‬‏]]:Rural[[#This Row],[‫یولیو‬‏]]),"")</f>
        <v>46.359999999999992</v>
      </c>
      <c r="U256" s="1">
        <f>IFERROR(AVERAGE(Rural[[#This Row],[‫یونیو‬‏]]:Rural[[#This Row],[‫ابریل‬‏]]),"")</f>
        <v>45.839999999999996</v>
      </c>
      <c r="V256" s="1">
        <f>IFERROR(AVERAGE(Rural[[#This Row],[‫مارس‬‏]]:Rural[[#This Row],[‫ینایر‬‏]]),"")</f>
        <v>45.186666666666667</v>
      </c>
    </row>
    <row r="257" spans="1:22" x14ac:dyDescent="0.35">
      <c r="A257" s="1">
        <v>14.9</v>
      </c>
      <c r="B257" s="1">
        <v>1.99</v>
      </c>
      <c r="C257" s="1">
        <v>2.29</v>
      </c>
      <c r="D257" s="1">
        <v>2.29</v>
      </c>
      <c r="E257" s="1">
        <v>2.29</v>
      </c>
      <c r="F257" s="1">
        <v>2.29</v>
      </c>
      <c r="G257" s="1">
        <v>2.29</v>
      </c>
      <c r="H257" s="1">
        <v>2.29</v>
      </c>
      <c r="I257" s="1">
        <v>2.29</v>
      </c>
      <c r="J257" s="1">
        <v>2.29</v>
      </c>
      <c r="K257" s="1">
        <v>2.29</v>
      </c>
      <c r="L257" s="1">
        <v>2.38</v>
      </c>
      <c r="M257" s="1">
        <v>2.25</v>
      </c>
      <c r="N257" s="1">
        <v>2.25</v>
      </c>
      <c r="O257" s="1">
        <v>2.25</v>
      </c>
      <c r="P257" t="s">
        <v>427</v>
      </c>
      <c r="Q257" t="s">
        <v>791</v>
      </c>
      <c r="R257" s="1" t="s">
        <v>526</v>
      </c>
      <c r="S257" s="1">
        <f>IFERROR(AVERAGE(Rural[[#This Row],[‫دیسمبر‬‏]]:Rural[[#This Row],[‫اكتوبر‬‏]]),"")</f>
        <v>2.29</v>
      </c>
      <c r="T257" s="1">
        <f>IFERROR(AVERAGE(Rural[[#This Row],[‫سبتمبر‬‏]]:Rural[[#This Row],[‫یولیو‬‏]]),"")</f>
        <v>2.29</v>
      </c>
      <c r="U257" s="1">
        <f>IFERROR(AVERAGE(Rural[[#This Row],[‫یونیو‬‏]]:Rural[[#This Row],[‫ابریل‬‏]]),"")</f>
        <v>2.3199999999999998</v>
      </c>
      <c r="V257" s="1">
        <f>IFERROR(AVERAGE(Rural[[#This Row],[‫مارس‬‏]]:Rural[[#This Row],[‫ینایر‬‏]]),"")</f>
        <v>2.25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9E1817-40CF-46DA-96C5-ABF265C104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Wholesale</vt:lpstr>
      <vt:lpstr>Urban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Mostafa</dc:creator>
  <cp:lastModifiedBy>Yousef Mostafa Abd-elFatah Abd-elLatef</cp:lastModifiedBy>
  <dcterms:created xsi:type="dcterms:W3CDTF">2015-06-05T18:17:20Z</dcterms:created>
  <dcterms:modified xsi:type="dcterms:W3CDTF">2026-05-07T17:48:51Z</dcterms:modified>
</cp:coreProperties>
</file>